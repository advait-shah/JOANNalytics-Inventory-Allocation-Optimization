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e1891bfdd1a1462/Documents/UW/Coursework/MSCI 719/Session 6_A5/A5/"/>
    </mc:Choice>
  </mc:AlternateContent>
  <xr:revisionPtr revIDLastSave="38167" documentId="13_ncr:1_{5D11A34B-DF4A-468B-8D0D-F7A3E7F90269}" xr6:coauthVersionLast="47" xr6:coauthVersionMax="47" xr10:uidLastSave="{94C27F43-552F-4CEE-A14F-7907DCDEC08F}"/>
  <bookViews>
    <workbookView xWindow="-108" yWindow="-108" windowWidth="23256" windowHeight="12456" tabRatio="734" activeTab="8" xr2:uid="{50D4693F-4D10-4A63-8936-5E10373277F1}"/>
  </bookViews>
  <sheets>
    <sheet name="HistoricalDemand_Store1" sheetId="2" r:id="rId1"/>
    <sheet name="HistoricalDemand_Store2" sheetId="3" r:id="rId2"/>
    <sheet name="HistoricalDemand_Store3" sheetId="4" r:id="rId3"/>
    <sheet name="1.1" sheetId="5" r:id="rId4"/>
    <sheet name="1.2" sheetId="6" r:id="rId5"/>
    <sheet name="1.2_extra" sheetId="7" r:id="rId6"/>
    <sheet name="1.3" sheetId="8" r:id="rId7"/>
    <sheet name="2.1.1" sheetId="9" r:id="rId8"/>
    <sheet name="2.1.2" sheetId="10" r:id="rId9"/>
    <sheet name="2.1.1_extra" sheetId="11" r:id="rId10"/>
    <sheet name="2.1.2_extra" sheetId="12" r:id="rId11"/>
  </sheets>
  <definedNames>
    <definedName name="ExternalData_1" localSheetId="4" hidden="1">'1.2'!#REF!</definedName>
    <definedName name="ExternalData_1" localSheetId="5" hidden="1">'1.2_extra'!$B$1:$E$91</definedName>
    <definedName name="solver_adj" localSheetId="3" hidden="1">'1.1'!$G$1</definedName>
    <definedName name="solver_adj" localSheetId="7" hidden="1">'2.1.1'!$B$16:$B$25,'2.1.1'!$D$16:$D$25,'2.1.1'!$F$16:$F$25</definedName>
    <definedName name="solver_adj" localSheetId="9" hidden="1">'2.1.1_extra'!$B$16:$B$25,'2.1.1_extra'!$D$16:$D$25,'2.1.1_extra'!$F$16:$F$25</definedName>
    <definedName name="solver_adj" localSheetId="8" hidden="1">'2.1.2'!$B$16:$B$25,'2.1.2'!$D$16:$D$25,'2.1.2'!$F$16:$F$25</definedName>
    <definedName name="solver_adj" localSheetId="10" hidden="1">'2.1.2_extra'!$B$16:$B$25,'2.1.2_extra'!$D$16:$D$25,'2.1.2_extra'!$F$16:$F$25</definedName>
    <definedName name="solver_adj" localSheetId="0" hidden="1">'1.1'!$G$1</definedName>
    <definedName name="solver_cvg" localSheetId="3" hidden="1">0.0001</definedName>
    <definedName name="solver_cvg" localSheetId="7" hidden="1">0.0001</definedName>
    <definedName name="solver_cvg" localSheetId="9" hidden="1">0.0001</definedName>
    <definedName name="solver_cvg" localSheetId="8" hidden="1">0.0001</definedName>
    <definedName name="solver_cvg" localSheetId="10" hidden="1">0.0001</definedName>
    <definedName name="solver_cvg" localSheetId="0" hidden="1">0.0001</definedName>
    <definedName name="solver_drv" localSheetId="3" hidden="1">1</definedName>
    <definedName name="solver_drv" localSheetId="7" hidden="1">1</definedName>
    <definedName name="solver_drv" localSheetId="9" hidden="1">1</definedName>
    <definedName name="solver_drv" localSheetId="8" hidden="1">1</definedName>
    <definedName name="solver_drv" localSheetId="10" hidden="1">1</definedName>
    <definedName name="solver_drv" localSheetId="0" hidden="1">1</definedName>
    <definedName name="solver_eng" localSheetId="3" hidden="1">2</definedName>
    <definedName name="solver_eng" localSheetId="7" hidden="1">2</definedName>
    <definedName name="solver_eng" localSheetId="9" hidden="1">1</definedName>
    <definedName name="solver_eng" localSheetId="8" hidden="1">1</definedName>
    <definedName name="solver_eng" localSheetId="10" hidden="1">1</definedName>
    <definedName name="solver_eng" localSheetId="0" hidden="1">1</definedName>
    <definedName name="solver_est" localSheetId="3" hidden="1">1</definedName>
    <definedName name="solver_est" localSheetId="7" hidden="1">1</definedName>
    <definedName name="solver_est" localSheetId="9" hidden="1">1</definedName>
    <definedName name="solver_est" localSheetId="8" hidden="1">1</definedName>
    <definedName name="solver_est" localSheetId="10" hidden="1">1</definedName>
    <definedName name="solver_est" localSheetId="0" hidden="1">1</definedName>
    <definedName name="solver_itr" localSheetId="3" hidden="1">2147483647</definedName>
    <definedName name="solver_itr" localSheetId="7" hidden="1">2147483647</definedName>
    <definedName name="solver_itr" localSheetId="9" hidden="1">2147483647</definedName>
    <definedName name="solver_itr" localSheetId="8" hidden="1">2147483647</definedName>
    <definedName name="solver_itr" localSheetId="10" hidden="1">2147483647</definedName>
    <definedName name="solver_itr" localSheetId="0" hidden="1">2147483647</definedName>
    <definedName name="solver_lhs1" localSheetId="3" hidden="1">'1.1'!$G$1</definedName>
    <definedName name="solver_lhs1" localSheetId="7" hidden="1">'2.1.1'!$B$16:$B$25</definedName>
    <definedName name="solver_lhs1" localSheetId="9" hidden="1">'2.1.1_extra'!$B$16:$B$25</definedName>
    <definedName name="solver_lhs1" localSheetId="8" hidden="1">'2.1.2'!$B$16:$B$25</definedName>
    <definedName name="solver_lhs1" localSheetId="10" hidden="1">'2.1.2_extra'!$B$16:$B$25</definedName>
    <definedName name="solver_lhs1" localSheetId="0" hidden="1">'1.1'!$G$1</definedName>
    <definedName name="solver_lhs10" localSheetId="7" hidden="1">'2.1.1'!$F$16:$F$25</definedName>
    <definedName name="solver_lhs10" localSheetId="9" hidden="1">'2.1.1_extra'!$F$16:$F$25</definedName>
    <definedName name="solver_lhs10" localSheetId="8" hidden="1">'2.1.2'!$F$16:$F$25</definedName>
    <definedName name="solver_lhs10" localSheetId="10" hidden="1">'2.1.2_extra'!$F$16:$F$25</definedName>
    <definedName name="solver_lhs11" localSheetId="7" hidden="1">'2.1.1'!$F$16:$F$25</definedName>
    <definedName name="solver_lhs11" localSheetId="9" hidden="1">'2.1.1_extra'!$F$16:$F$25</definedName>
    <definedName name="solver_lhs11" localSheetId="8" hidden="1">'2.1.2'!$F$16:$F$25</definedName>
    <definedName name="solver_lhs11" localSheetId="10" hidden="1">'2.1.2_extra'!$F$16:$F$25</definedName>
    <definedName name="solver_lhs12" localSheetId="7" hidden="1">'2.1.1'!$F$16:$F$25</definedName>
    <definedName name="solver_lhs12" localSheetId="9" hidden="1">'2.1.1_extra'!$F$16:$F$25</definedName>
    <definedName name="solver_lhs12" localSheetId="8" hidden="1">'2.1.2'!$F$16:$F$25</definedName>
    <definedName name="solver_lhs12" localSheetId="10" hidden="1">'2.1.2_extra'!$F$16:$F$25</definedName>
    <definedName name="solver_lhs13" localSheetId="7" hidden="1">'2.1.1'!$F$35:$F$44</definedName>
    <definedName name="solver_lhs13" localSheetId="9" hidden="1">'2.1.1_extra'!$F$35:$F$44</definedName>
    <definedName name="solver_lhs13" localSheetId="8" hidden="1">'2.1.2'!$F$35:$F$44</definedName>
    <definedName name="solver_lhs13" localSheetId="10" hidden="1">'2.1.2_extra'!$F$35:$F$44</definedName>
    <definedName name="solver_lhs2" localSheetId="3" hidden="1">'1.1'!$G$1</definedName>
    <definedName name="solver_lhs2" localSheetId="7" hidden="1">'2.1.1'!$B$16:$B$25</definedName>
    <definedName name="solver_lhs2" localSheetId="9" hidden="1">'2.1.1_extra'!$B$16:$B$25</definedName>
    <definedName name="solver_lhs2" localSheetId="8" hidden="1">'2.1.2'!$B$16:$B$25</definedName>
    <definedName name="solver_lhs2" localSheetId="10" hidden="1">'2.1.2_extra'!$B$16:$B$25</definedName>
    <definedName name="solver_lhs2" localSheetId="0" hidden="1">'1.1'!$G$1</definedName>
    <definedName name="solver_lhs3" localSheetId="7" hidden="1">'2.1.1'!$B$16:$B$25</definedName>
    <definedName name="solver_lhs3" localSheetId="9" hidden="1">'2.1.1_extra'!$B$16:$B$25</definedName>
    <definedName name="solver_lhs3" localSheetId="8" hidden="1">'2.1.2'!$B$16:$B$25</definedName>
    <definedName name="solver_lhs3" localSheetId="10" hidden="1">'2.1.2_extra'!$B$16:$B$25</definedName>
    <definedName name="solver_lhs4" localSheetId="7" hidden="1">'2.1.1'!$B$27</definedName>
    <definedName name="solver_lhs4" localSheetId="9" hidden="1">'2.1.1_extra'!$B$27</definedName>
    <definedName name="solver_lhs4" localSheetId="8" hidden="1">'2.1.2'!$B$27</definedName>
    <definedName name="solver_lhs4" localSheetId="10" hidden="1">'2.1.2_extra'!$B$27</definedName>
    <definedName name="solver_lhs5" localSheetId="7" hidden="1">'2.1.1'!$B$35:$B$44</definedName>
    <definedName name="solver_lhs5" localSheetId="9" hidden="1">'2.1.1_extra'!$B$35:$B$44</definedName>
    <definedName name="solver_lhs5" localSheetId="8" hidden="1">'2.1.2'!$B$35:$B$44</definedName>
    <definedName name="solver_lhs5" localSheetId="10" hidden="1">'2.1.2_extra'!$B$35:$B$44</definedName>
    <definedName name="solver_lhs6" localSheetId="7" hidden="1">'2.1.1'!$D$16:$D$25</definedName>
    <definedName name="solver_lhs6" localSheetId="9" hidden="1">'2.1.1_extra'!$D$16:$D$25</definedName>
    <definedName name="solver_lhs6" localSheetId="8" hidden="1">'2.1.2'!$D$16:$D$25</definedName>
    <definedName name="solver_lhs6" localSheetId="10" hidden="1">'2.1.2_extra'!$D$16:$D$25</definedName>
    <definedName name="solver_lhs7" localSheetId="7" hidden="1">'2.1.1'!$D$16:$D$25</definedName>
    <definedName name="solver_lhs7" localSheetId="9" hidden="1">'2.1.1_extra'!$D$16:$D$25</definedName>
    <definedName name="solver_lhs7" localSheetId="8" hidden="1">'2.1.2'!$D$16:$D$25</definedName>
    <definedName name="solver_lhs7" localSheetId="10" hidden="1">'2.1.2_extra'!$D$16:$D$25</definedName>
    <definedName name="solver_lhs8" localSheetId="7" hidden="1">'2.1.1'!$D$16:$D$25</definedName>
    <definedName name="solver_lhs8" localSheetId="9" hidden="1">'2.1.1_extra'!$D$16:$D$25</definedName>
    <definedName name="solver_lhs8" localSheetId="8" hidden="1">'2.1.2'!$D$16:$D$25</definedName>
    <definedName name="solver_lhs8" localSheetId="10" hidden="1">'2.1.2_extra'!$D$16:$D$25</definedName>
    <definedName name="solver_lhs9" localSheetId="7" hidden="1">'2.1.1'!$D$35:$D$44</definedName>
    <definedName name="solver_lhs9" localSheetId="9" hidden="1">'2.1.1_extra'!$D$35:$D$44</definedName>
    <definedName name="solver_lhs9" localSheetId="8" hidden="1">'2.1.2'!$D$35:$D$44</definedName>
    <definedName name="solver_lhs9" localSheetId="10" hidden="1">'2.1.2_extra'!$D$35:$D$44</definedName>
    <definedName name="solver_mip" localSheetId="3" hidden="1">2147483647</definedName>
    <definedName name="solver_mip" localSheetId="7" hidden="1">2147483647</definedName>
    <definedName name="solver_mip" localSheetId="9" hidden="1">2147483647</definedName>
    <definedName name="solver_mip" localSheetId="8" hidden="1">2147483647</definedName>
    <definedName name="solver_mip" localSheetId="10" hidden="1">2147483647</definedName>
    <definedName name="solver_mip" localSheetId="0" hidden="1">2147483647</definedName>
    <definedName name="solver_mni" localSheetId="3" hidden="1">30</definedName>
    <definedName name="solver_mni" localSheetId="7" hidden="1">30</definedName>
    <definedName name="solver_mni" localSheetId="9" hidden="1">30</definedName>
    <definedName name="solver_mni" localSheetId="8" hidden="1">30</definedName>
    <definedName name="solver_mni" localSheetId="10" hidden="1">30</definedName>
    <definedName name="solver_mni" localSheetId="0" hidden="1">30</definedName>
    <definedName name="solver_mrt" localSheetId="3" hidden="1">0.075</definedName>
    <definedName name="solver_mrt" localSheetId="7" hidden="1">0.075</definedName>
    <definedName name="solver_mrt" localSheetId="9" hidden="1">0.075</definedName>
    <definedName name="solver_mrt" localSheetId="8" hidden="1">0.075</definedName>
    <definedName name="solver_mrt" localSheetId="10" hidden="1">0.075</definedName>
    <definedName name="solver_mrt" localSheetId="0" hidden="1">0.075</definedName>
    <definedName name="solver_msl" localSheetId="3" hidden="1">2</definedName>
    <definedName name="solver_msl" localSheetId="7" hidden="1">2</definedName>
    <definedName name="solver_msl" localSheetId="9" hidden="1">2</definedName>
    <definedName name="solver_msl" localSheetId="8" hidden="1">2</definedName>
    <definedName name="solver_msl" localSheetId="10" hidden="1">2</definedName>
    <definedName name="solver_msl" localSheetId="0" hidden="1">2</definedName>
    <definedName name="solver_neg" localSheetId="3" hidden="1">1</definedName>
    <definedName name="solver_neg" localSheetId="7" hidden="1">1</definedName>
    <definedName name="solver_neg" localSheetId="9" hidden="1">1</definedName>
    <definedName name="solver_neg" localSheetId="8" hidden="1">1</definedName>
    <definedName name="solver_neg" localSheetId="10" hidden="1">1</definedName>
    <definedName name="solver_neg" localSheetId="0" hidden="1">1</definedName>
    <definedName name="solver_nod" localSheetId="3" hidden="1">2147483647</definedName>
    <definedName name="solver_nod" localSheetId="7" hidden="1">2147483647</definedName>
    <definedName name="solver_nod" localSheetId="9" hidden="1">2147483647</definedName>
    <definedName name="solver_nod" localSheetId="8" hidden="1">2147483647</definedName>
    <definedName name="solver_nod" localSheetId="10" hidden="1">2147483647</definedName>
    <definedName name="solver_nod" localSheetId="0" hidden="1">2147483647</definedName>
    <definedName name="solver_num" localSheetId="3" hidden="1">2</definedName>
    <definedName name="solver_num" localSheetId="7" hidden="1">13</definedName>
    <definedName name="solver_num" localSheetId="9" hidden="1">13</definedName>
    <definedName name="solver_num" localSheetId="8" hidden="1">13</definedName>
    <definedName name="solver_num" localSheetId="10" hidden="1">13</definedName>
    <definedName name="solver_num" localSheetId="0" hidden="1">2</definedName>
    <definedName name="solver_nwt" localSheetId="3" hidden="1">1</definedName>
    <definedName name="solver_nwt" localSheetId="7" hidden="1">1</definedName>
    <definedName name="solver_nwt" localSheetId="9" hidden="1">1</definedName>
    <definedName name="solver_nwt" localSheetId="8" hidden="1">1</definedName>
    <definedName name="solver_nwt" localSheetId="10" hidden="1">1</definedName>
    <definedName name="solver_nwt" localSheetId="0" hidden="1">1</definedName>
    <definedName name="solver_opt" localSheetId="3" hidden="1">'1.1'!$M$2</definedName>
    <definedName name="solver_opt" localSheetId="7" hidden="1">'2.1.1'!$B$27</definedName>
    <definedName name="solver_opt" localSheetId="9" hidden="1">'2.1.1_extra'!$I$44</definedName>
    <definedName name="solver_opt" localSheetId="8" hidden="1">'2.1.2'!$B$47</definedName>
    <definedName name="solver_opt" localSheetId="10" hidden="1">'2.1.2_extra'!$I$44</definedName>
    <definedName name="solver_opt" localSheetId="0" hidden="1">'1.1'!$M$2</definedName>
    <definedName name="solver_pre" localSheetId="3" hidden="1">0.000001</definedName>
    <definedName name="solver_pre" localSheetId="7" hidden="1">0.000001</definedName>
    <definedName name="solver_pre" localSheetId="9" hidden="1">0.000001</definedName>
    <definedName name="solver_pre" localSheetId="8" hidden="1">0.000001</definedName>
    <definedName name="solver_pre" localSheetId="10" hidden="1">0.000001</definedName>
    <definedName name="solver_pre" localSheetId="0" hidden="1">0.000001</definedName>
    <definedName name="solver_rbv" localSheetId="3" hidden="1">1</definedName>
    <definedName name="solver_rbv" localSheetId="7" hidden="1">1</definedName>
    <definedName name="solver_rbv" localSheetId="9" hidden="1">1</definedName>
    <definedName name="solver_rbv" localSheetId="8" hidden="1">1</definedName>
    <definedName name="solver_rbv" localSheetId="10" hidden="1">1</definedName>
    <definedName name="solver_rbv" localSheetId="0" hidden="1">1</definedName>
    <definedName name="solver_rel1" localSheetId="3" hidden="1">1</definedName>
    <definedName name="solver_rel1" localSheetId="7" hidden="1">1</definedName>
    <definedName name="solver_rel1" localSheetId="9" hidden="1">1</definedName>
    <definedName name="solver_rel1" localSheetId="8" hidden="1">1</definedName>
    <definedName name="solver_rel1" localSheetId="10" hidden="1">1</definedName>
    <definedName name="solver_rel1" localSheetId="0" hidden="1">1</definedName>
    <definedName name="solver_rel10" localSheetId="7" hidden="1">1</definedName>
    <definedName name="solver_rel10" localSheetId="9" hidden="1">1</definedName>
    <definedName name="solver_rel10" localSheetId="8" hidden="1">1</definedName>
    <definedName name="solver_rel10" localSheetId="10" hidden="1">1</definedName>
    <definedName name="solver_rel11" localSheetId="7" hidden="1">4</definedName>
    <definedName name="solver_rel11" localSheetId="9" hidden="1">4</definedName>
    <definedName name="solver_rel11" localSheetId="8" hidden="1">4</definedName>
    <definedName name="solver_rel11" localSheetId="10" hidden="1">4</definedName>
    <definedName name="solver_rel12" localSheetId="7" hidden="1">3</definedName>
    <definedName name="solver_rel12" localSheetId="9" hidden="1">3</definedName>
    <definedName name="solver_rel12" localSheetId="8" hidden="1">3</definedName>
    <definedName name="solver_rel12" localSheetId="10" hidden="1">3</definedName>
    <definedName name="solver_rel13" localSheetId="7" hidden="1">1</definedName>
    <definedName name="solver_rel13" localSheetId="9" hidden="1">1</definedName>
    <definedName name="solver_rel13" localSheetId="8" hidden="1">1</definedName>
    <definedName name="solver_rel13" localSheetId="10" hidden="1">1</definedName>
    <definedName name="solver_rel2" localSheetId="3" hidden="1">3</definedName>
    <definedName name="solver_rel2" localSheetId="7" hidden="1">4</definedName>
    <definedName name="solver_rel2" localSheetId="9" hidden="1">4</definedName>
    <definedName name="solver_rel2" localSheetId="8" hidden="1">4</definedName>
    <definedName name="solver_rel2" localSheetId="10" hidden="1">4</definedName>
    <definedName name="solver_rel2" localSheetId="0" hidden="1">3</definedName>
    <definedName name="solver_rel3" localSheetId="7" hidden="1">3</definedName>
    <definedName name="solver_rel3" localSheetId="9" hidden="1">3</definedName>
    <definedName name="solver_rel3" localSheetId="8" hidden="1">3</definedName>
    <definedName name="solver_rel3" localSheetId="10" hidden="1">3</definedName>
    <definedName name="solver_rel4" localSheetId="7" hidden="1">1</definedName>
    <definedName name="solver_rel4" localSheetId="9" hidden="1">1</definedName>
    <definedName name="solver_rel4" localSheetId="8" hidden="1">1</definedName>
    <definedName name="solver_rel4" localSheetId="10" hidden="1">1</definedName>
    <definedName name="solver_rel5" localSheetId="7" hidden="1">1</definedName>
    <definedName name="solver_rel5" localSheetId="9" hidden="1">1</definedName>
    <definedName name="solver_rel5" localSheetId="8" hidden="1">1</definedName>
    <definedName name="solver_rel5" localSheetId="10" hidden="1">1</definedName>
    <definedName name="solver_rel6" localSheetId="7" hidden="1">1</definedName>
    <definedName name="solver_rel6" localSheetId="9" hidden="1">1</definedName>
    <definedName name="solver_rel6" localSheetId="8" hidden="1">1</definedName>
    <definedName name="solver_rel6" localSheetId="10" hidden="1">1</definedName>
    <definedName name="solver_rel7" localSheetId="7" hidden="1">4</definedName>
    <definedName name="solver_rel7" localSheetId="9" hidden="1">4</definedName>
    <definedName name="solver_rel7" localSheetId="8" hidden="1">4</definedName>
    <definedName name="solver_rel7" localSheetId="10" hidden="1">4</definedName>
    <definedName name="solver_rel8" localSheetId="7" hidden="1">3</definedName>
    <definedName name="solver_rel8" localSheetId="9" hidden="1">3</definedName>
    <definedName name="solver_rel8" localSheetId="8" hidden="1">3</definedName>
    <definedName name="solver_rel8" localSheetId="10" hidden="1">3</definedName>
    <definedName name="solver_rel9" localSheetId="7" hidden="1">1</definedName>
    <definedName name="solver_rel9" localSheetId="9" hidden="1">1</definedName>
    <definedName name="solver_rel9" localSheetId="8" hidden="1">1</definedName>
    <definedName name="solver_rel9" localSheetId="10" hidden="1">1</definedName>
    <definedName name="solver_rhs1" localSheetId="3" hidden="1">1</definedName>
    <definedName name="solver_rhs1" localSheetId="7" hidden="1">'2.1.1'!$R$18:$R$27</definedName>
    <definedName name="solver_rhs1" localSheetId="9" hidden="1">'2.1.1_extra'!$R$18:$R$27</definedName>
    <definedName name="solver_rhs1" localSheetId="8" hidden="1">'2.1.2'!$R$18:$R$27</definedName>
    <definedName name="solver_rhs1" localSheetId="10" hidden="1">'2.1.2_extra'!$R$18:$R$27</definedName>
    <definedName name="solver_rhs1" localSheetId="0" hidden="1">1</definedName>
    <definedName name="solver_rhs10" localSheetId="7" hidden="1">'2.1.1'!$Z$18:$Z$27</definedName>
    <definedName name="solver_rhs10" localSheetId="9" hidden="1">'2.1.1_extra'!$Z$18:$Z$27</definedName>
    <definedName name="solver_rhs10" localSheetId="8" hidden="1">'2.1.2'!$Z$18:$Z$27</definedName>
    <definedName name="solver_rhs10" localSheetId="10" hidden="1">'2.1.2_extra'!$Z$18:$Z$27</definedName>
    <definedName name="solver_rhs11" localSheetId="7" hidden="1">"integer"</definedName>
    <definedName name="solver_rhs11" localSheetId="9" hidden="1">"integer"</definedName>
    <definedName name="solver_rhs11" localSheetId="8" hidden="1">"integer"</definedName>
    <definedName name="solver_rhs11" localSheetId="10" hidden="1">"integer"</definedName>
    <definedName name="solver_rhs12" localSheetId="7" hidden="1">'2.1.1'!$X$18:$X$27</definedName>
    <definedName name="solver_rhs12" localSheetId="9" hidden="1">'2.1.1_extra'!$X$18:$X$27</definedName>
    <definedName name="solver_rhs12" localSheetId="8" hidden="1">'2.1.2'!$X$18:$X$27</definedName>
    <definedName name="solver_rhs12" localSheetId="10" hidden="1">'2.1.2_extra'!$X$18:$X$27</definedName>
    <definedName name="solver_rhs13" localSheetId="7" hidden="1">'2.1.1'!$O$3:$O$12</definedName>
    <definedName name="solver_rhs13" localSheetId="9" hidden="1">'2.1.1_extra'!$O$3:$O$12</definedName>
    <definedName name="solver_rhs13" localSheetId="8" hidden="1">'2.1.2'!$O$3:$O$12</definedName>
    <definedName name="solver_rhs13" localSheetId="10" hidden="1">'2.1.2_extra'!$O$3:$O$12</definedName>
    <definedName name="solver_rhs2" localSheetId="3" hidden="1">0</definedName>
    <definedName name="solver_rhs2" localSheetId="7" hidden="1">"integer"</definedName>
    <definedName name="solver_rhs2" localSheetId="9" hidden="1">"integer"</definedName>
    <definedName name="solver_rhs2" localSheetId="8" hidden="1">"integer"</definedName>
    <definedName name="solver_rhs2" localSheetId="10" hidden="1">"integer"</definedName>
    <definedName name="solver_rhs2" localSheetId="0" hidden="1">0</definedName>
    <definedName name="solver_rhs3" localSheetId="7" hidden="1">'2.1.1'!$P$18:$P$27</definedName>
    <definedName name="solver_rhs3" localSheetId="9" hidden="1">'2.1.1_extra'!$P$18:$P$27</definedName>
    <definedName name="solver_rhs3" localSheetId="8" hidden="1">'2.1.2'!$P$18:$P$27</definedName>
    <definedName name="solver_rhs3" localSheetId="10" hidden="1">'2.1.2_extra'!$P$18:$P$27</definedName>
    <definedName name="solver_rhs4" localSheetId="7" hidden="1">'2.1.1'!$B$28</definedName>
    <definedName name="solver_rhs4" localSheetId="9" hidden="1">'2.1.1_extra'!$B$28</definedName>
    <definedName name="solver_rhs4" localSheetId="8" hidden="1">'2.1.2'!$B$28</definedName>
    <definedName name="solver_rhs4" localSheetId="10" hidden="1">'2.1.2_extra'!$B$28</definedName>
    <definedName name="solver_rhs5" localSheetId="7" hidden="1">'2.1.1'!$K$3:$K$12</definedName>
    <definedName name="solver_rhs5" localSheetId="9" hidden="1">'2.1.1_extra'!$K$3:$K$12</definedName>
    <definedName name="solver_rhs5" localSheetId="8" hidden="1">'2.1.2'!$K$3:$K$12</definedName>
    <definedName name="solver_rhs5" localSheetId="10" hidden="1">'2.1.2_extra'!$K$3:$K$12</definedName>
    <definedName name="solver_rhs6" localSheetId="7" hidden="1">'2.1.1'!$V$18:$V$27</definedName>
    <definedName name="solver_rhs6" localSheetId="9" hidden="1">'2.1.1_extra'!$V$18:$V$27</definedName>
    <definedName name="solver_rhs6" localSheetId="8" hidden="1">'2.1.2'!$V$18:$V$27</definedName>
    <definedName name="solver_rhs6" localSheetId="10" hidden="1">'2.1.2_extra'!$V$18:$V$27</definedName>
    <definedName name="solver_rhs7" localSheetId="7" hidden="1">"integer"</definedName>
    <definedName name="solver_rhs7" localSheetId="9" hidden="1">"integer"</definedName>
    <definedName name="solver_rhs7" localSheetId="8" hidden="1">"integer"</definedName>
    <definedName name="solver_rhs7" localSheetId="10" hidden="1">"integer"</definedName>
    <definedName name="solver_rhs8" localSheetId="7" hidden="1">'2.1.1'!$T$18:$T$27</definedName>
    <definedName name="solver_rhs8" localSheetId="9" hidden="1">'2.1.1_extra'!$T$18:$T$27</definedName>
    <definedName name="solver_rhs8" localSheetId="8" hidden="1">'2.1.2'!$T$18:$T$27</definedName>
    <definedName name="solver_rhs8" localSheetId="10" hidden="1">'2.1.2_extra'!$T$18:$T$27</definedName>
    <definedName name="solver_rhs9" localSheetId="7" hidden="1">'2.1.1'!$M$3:$M$12</definedName>
    <definedName name="solver_rhs9" localSheetId="9" hidden="1">'2.1.1_extra'!$M$3:$M$12</definedName>
    <definedName name="solver_rhs9" localSheetId="8" hidden="1">'2.1.2'!$M$3:$M$12</definedName>
    <definedName name="solver_rhs9" localSheetId="10" hidden="1">'2.1.2_extra'!$M$3:$M$12</definedName>
    <definedName name="solver_rlx" localSheetId="3" hidden="1">2</definedName>
    <definedName name="solver_rlx" localSheetId="7" hidden="1">2</definedName>
    <definedName name="solver_rlx" localSheetId="9" hidden="1">2</definedName>
    <definedName name="solver_rlx" localSheetId="8" hidden="1">2</definedName>
    <definedName name="solver_rlx" localSheetId="10" hidden="1">2</definedName>
    <definedName name="solver_rlx" localSheetId="0" hidden="1">2</definedName>
    <definedName name="solver_rsd" localSheetId="3" hidden="1">0</definedName>
    <definedName name="solver_rsd" localSheetId="7" hidden="1">0</definedName>
    <definedName name="solver_rsd" localSheetId="9" hidden="1">0</definedName>
    <definedName name="solver_rsd" localSheetId="8" hidden="1">0</definedName>
    <definedName name="solver_rsd" localSheetId="10" hidden="1">0</definedName>
    <definedName name="solver_rsd" localSheetId="0" hidden="1">0</definedName>
    <definedName name="solver_scl" localSheetId="3" hidden="1">1</definedName>
    <definedName name="solver_scl" localSheetId="7" hidden="1">1</definedName>
    <definedName name="solver_scl" localSheetId="9" hidden="1">1</definedName>
    <definedName name="solver_scl" localSheetId="8" hidden="1">1</definedName>
    <definedName name="solver_scl" localSheetId="10" hidden="1">1</definedName>
    <definedName name="solver_scl" localSheetId="0" hidden="1">1</definedName>
    <definedName name="solver_sho" localSheetId="3" hidden="1">2</definedName>
    <definedName name="solver_sho" localSheetId="7" hidden="1">2</definedName>
    <definedName name="solver_sho" localSheetId="9" hidden="1">2</definedName>
    <definedName name="solver_sho" localSheetId="8" hidden="1">2</definedName>
    <definedName name="solver_sho" localSheetId="10" hidden="1">2</definedName>
    <definedName name="solver_sho" localSheetId="0" hidden="1">2</definedName>
    <definedName name="solver_ssz" localSheetId="3" hidden="1">100</definedName>
    <definedName name="solver_ssz" localSheetId="7" hidden="1">100</definedName>
    <definedName name="solver_ssz" localSheetId="9" hidden="1">100</definedName>
    <definedName name="solver_ssz" localSheetId="8" hidden="1">100</definedName>
    <definedName name="solver_ssz" localSheetId="10" hidden="1">100</definedName>
    <definedName name="solver_ssz" localSheetId="0" hidden="1">100</definedName>
    <definedName name="solver_tim" localSheetId="3" hidden="1">2147483647</definedName>
    <definedName name="solver_tim" localSheetId="7" hidden="1">2147483647</definedName>
    <definedName name="solver_tim" localSheetId="9" hidden="1">2147483647</definedName>
    <definedName name="solver_tim" localSheetId="8" hidden="1">2147483647</definedName>
    <definedName name="solver_tim" localSheetId="10" hidden="1">2147483647</definedName>
    <definedName name="solver_tim" localSheetId="0" hidden="1">2147483647</definedName>
    <definedName name="solver_tol" localSheetId="3" hidden="1">0.01</definedName>
    <definedName name="solver_tol" localSheetId="7" hidden="1">0.01</definedName>
    <definedName name="solver_tol" localSheetId="9" hidden="1">0.01</definedName>
    <definedName name="solver_tol" localSheetId="8" hidden="1">0.01</definedName>
    <definedName name="solver_tol" localSheetId="10" hidden="1">0.01</definedName>
    <definedName name="solver_tol" localSheetId="0" hidden="1">0.01</definedName>
    <definedName name="solver_typ" localSheetId="3" hidden="1">2</definedName>
    <definedName name="solver_typ" localSheetId="7" hidden="1">1</definedName>
    <definedName name="solver_typ" localSheetId="9" hidden="1">2</definedName>
    <definedName name="solver_typ" localSheetId="8" hidden="1">1</definedName>
    <definedName name="solver_typ" localSheetId="10" hidden="1">2</definedName>
    <definedName name="solver_typ" localSheetId="0" hidden="1">2</definedName>
    <definedName name="solver_val" localSheetId="3" hidden="1">0</definedName>
    <definedName name="solver_val" localSheetId="7" hidden="1">0</definedName>
    <definedName name="solver_val" localSheetId="9" hidden="1">0</definedName>
    <definedName name="solver_val" localSheetId="8" hidden="1">0</definedName>
    <definedName name="solver_val" localSheetId="10" hidden="1">0</definedName>
    <definedName name="solver_val" localSheetId="0" hidden="1">0</definedName>
    <definedName name="solver_ver" localSheetId="3" hidden="1">3</definedName>
    <definedName name="solver_ver" localSheetId="7" hidden="1">3</definedName>
    <definedName name="solver_ver" localSheetId="9" hidden="1">3</definedName>
    <definedName name="solver_ver" localSheetId="8" hidden="1">3</definedName>
    <definedName name="solver_ver" localSheetId="10" hidden="1">3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2" l="1"/>
  <c r="V22" i="3"/>
  <c r="T27" i="2"/>
  <c r="T28" i="2"/>
  <c r="T29" i="2"/>
  <c r="T30" i="2"/>
  <c r="T31" i="2"/>
  <c r="T27" i="3"/>
  <c r="T28" i="3"/>
  <c r="T29" i="3"/>
  <c r="T30" i="3"/>
  <c r="T31" i="3"/>
  <c r="T27" i="4"/>
  <c r="T28" i="4"/>
  <c r="T29" i="4"/>
  <c r="T30" i="4"/>
  <c r="T31" i="4"/>
  <c r="U22" i="2"/>
  <c r="U23" i="2"/>
  <c r="U24" i="2"/>
  <c r="U25" i="2"/>
  <c r="U26" i="2"/>
  <c r="F35" i="12"/>
  <c r="D35" i="12"/>
  <c r="B35" i="12"/>
  <c r="Q32" i="12"/>
  <c r="P32" i="12"/>
  <c r="O32" i="12"/>
  <c r="K32" i="12"/>
  <c r="J32" i="12"/>
  <c r="I32" i="12"/>
  <c r="B27" i="12"/>
  <c r="M18" i="12"/>
  <c r="Q33" i="12" s="1"/>
  <c r="K18" i="12"/>
  <c r="D36" i="12" s="1"/>
  <c r="I18" i="12"/>
  <c r="B36" i="12" s="1"/>
  <c r="H12" i="12"/>
  <c r="G12" i="12"/>
  <c r="F12" i="12"/>
  <c r="H11" i="12"/>
  <c r="G11" i="12"/>
  <c r="F11" i="12"/>
  <c r="H10" i="12"/>
  <c r="G10" i="12"/>
  <c r="F10" i="12"/>
  <c r="H9" i="12"/>
  <c r="G9" i="12"/>
  <c r="F9" i="12"/>
  <c r="H8" i="12"/>
  <c r="G8" i="12"/>
  <c r="F8" i="12"/>
  <c r="H7" i="12"/>
  <c r="G7" i="12"/>
  <c r="F7" i="12"/>
  <c r="H6" i="12"/>
  <c r="G6" i="12"/>
  <c r="F6" i="12"/>
  <c r="H5" i="12"/>
  <c r="G5" i="12"/>
  <c r="F5" i="12"/>
  <c r="H4" i="12"/>
  <c r="G4" i="12"/>
  <c r="F4" i="12"/>
  <c r="H3" i="12"/>
  <c r="G3" i="12"/>
  <c r="F3" i="12"/>
  <c r="F44" i="11"/>
  <c r="D44" i="11"/>
  <c r="B44" i="11"/>
  <c r="F43" i="11"/>
  <c r="D43" i="11"/>
  <c r="B43" i="11"/>
  <c r="F42" i="11"/>
  <c r="D42" i="11"/>
  <c r="B42" i="11"/>
  <c r="Q41" i="11"/>
  <c r="P41" i="11"/>
  <c r="O41" i="11"/>
  <c r="K41" i="11"/>
  <c r="J41" i="11"/>
  <c r="I41" i="11"/>
  <c r="F41" i="11"/>
  <c r="D41" i="11"/>
  <c r="B41" i="11"/>
  <c r="Q40" i="11"/>
  <c r="P40" i="11"/>
  <c r="O40" i="11"/>
  <c r="K40" i="11"/>
  <c r="J40" i="11"/>
  <c r="I40" i="11"/>
  <c r="F40" i="11"/>
  <c r="D40" i="11"/>
  <c r="B40" i="11"/>
  <c r="Q39" i="11"/>
  <c r="P39" i="11"/>
  <c r="O39" i="11"/>
  <c r="K39" i="11"/>
  <c r="J39" i="11"/>
  <c r="I39" i="11"/>
  <c r="F39" i="11"/>
  <c r="D39" i="11"/>
  <c r="B39" i="11"/>
  <c r="Q38" i="11"/>
  <c r="P38" i="11"/>
  <c r="O38" i="11"/>
  <c r="K38" i="11"/>
  <c r="J38" i="11"/>
  <c r="I38" i="11"/>
  <c r="F38" i="11"/>
  <c r="D38" i="11"/>
  <c r="B38" i="11"/>
  <c r="Q37" i="11"/>
  <c r="P37" i="11"/>
  <c r="O37" i="11"/>
  <c r="K37" i="11"/>
  <c r="J37" i="11"/>
  <c r="I37" i="11"/>
  <c r="F37" i="11"/>
  <c r="D37" i="11"/>
  <c r="B37" i="11"/>
  <c r="Q36" i="11"/>
  <c r="P36" i="11"/>
  <c r="O36" i="11"/>
  <c r="K36" i="11"/>
  <c r="J36" i="11"/>
  <c r="I36" i="11"/>
  <c r="F36" i="11"/>
  <c r="D36" i="11"/>
  <c r="B36" i="11"/>
  <c r="Q35" i="11"/>
  <c r="P35" i="11"/>
  <c r="O35" i="11"/>
  <c r="K35" i="11"/>
  <c r="J35" i="11"/>
  <c r="I35" i="11"/>
  <c r="F35" i="11"/>
  <c r="D35" i="11"/>
  <c r="B35" i="11"/>
  <c r="Q34" i="11"/>
  <c r="P34" i="11"/>
  <c r="O34" i="11"/>
  <c r="K34" i="11"/>
  <c r="J34" i="11"/>
  <c r="I34" i="11"/>
  <c r="Q33" i="11"/>
  <c r="P33" i="11"/>
  <c r="O33" i="11"/>
  <c r="K33" i="11"/>
  <c r="J33" i="11"/>
  <c r="I33" i="11"/>
  <c r="Q32" i="11"/>
  <c r="P32" i="11"/>
  <c r="O32" i="11"/>
  <c r="K32" i="11"/>
  <c r="J32" i="11"/>
  <c r="I32" i="11"/>
  <c r="B27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G3" i="11"/>
  <c r="F3" i="11"/>
  <c r="O33" i="9"/>
  <c r="P33" i="9"/>
  <c r="Q33" i="9"/>
  <c r="O34" i="9"/>
  <c r="P34" i="9"/>
  <c r="Q34" i="9"/>
  <c r="O35" i="9"/>
  <c r="P35" i="9"/>
  <c r="Q35" i="9"/>
  <c r="O36" i="9"/>
  <c r="P36" i="9"/>
  <c r="Q36" i="9"/>
  <c r="O37" i="9"/>
  <c r="P37" i="9"/>
  <c r="Q37" i="9"/>
  <c r="O38" i="9"/>
  <c r="P38" i="9"/>
  <c r="Q38" i="9"/>
  <c r="O39" i="9"/>
  <c r="P39" i="9"/>
  <c r="Q39" i="9"/>
  <c r="O40" i="9"/>
  <c r="P40" i="9"/>
  <c r="Q40" i="9"/>
  <c r="O41" i="9"/>
  <c r="P41" i="9"/>
  <c r="Q41" i="9"/>
  <c r="I33" i="9"/>
  <c r="J33" i="9"/>
  <c r="K33" i="9"/>
  <c r="I34" i="9"/>
  <c r="J34" i="9"/>
  <c r="K34" i="9"/>
  <c r="I35" i="9"/>
  <c r="J35" i="9"/>
  <c r="K35" i="9"/>
  <c r="I36" i="9"/>
  <c r="J36" i="9"/>
  <c r="K36" i="9"/>
  <c r="I37" i="9"/>
  <c r="J37" i="9"/>
  <c r="K37" i="9"/>
  <c r="I38" i="9"/>
  <c r="J38" i="9"/>
  <c r="K38" i="9"/>
  <c r="I39" i="9"/>
  <c r="J39" i="9"/>
  <c r="K39" i="9"/>
  <c r="I40" i="9"/>
  <c r="J40" i="9"/>
  <c r="K40" i="9"/>
  <c r="I41" i="9"/>
  <c r="J41" i="9"/>
  <c r="K41" i="9"/>
  <c r="Q32" i="9"/>
  <c r="P32" i="9"/>
  <c r="O32" i="9"/>
  <c r="K32" i="9"/>
  <c r="J32" i="9"/>
  <c r="I32" i="9"/>
  <c r="Q32" i="10"/>
  <c r="K32" i="10"/>
  <c r="P32" i="10"/>
  <c r="O32" i="10"/>
  <c r="I32" i="10"/>
  <c r="J32" i="10"/>
  <c r="M18" i="10"/>
  <c r="F36" i="10" s="1"/>
  <c r="K18" i="10"/>
  <c r="D36" i="10" s="1"/>
  <c r="I18" i="10"/>
  <c r="B36" i="10" s="1"/>
  <c r="F35" i="10"/>
  <c r="D35" i="10"/>
  <c r="B35" i="10"/>
  <c r="B27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G3" i="10"/>
  <c r="F3" i="10"/>
  <c r="F36" i="9"/>
  <c r="F37" i="9"/>
  <c r="F38" i="9"/>
  <c r="F39" i="9"/>
  <c r="F40" i="9"/>
  <c r="F41" i="9"/>
  <c r="F42" i="9"/>
  <c r="F43" i="9"/>
  <c r="F44" i="9"/>
  <c r="D36" i="9"/>
  <c r="D37" i="9"/>
  <c r="D38" i="9"/>
  <c r="D39" i="9"/>
  <c r="D40" i="9"/>
  <c r="D41" i="9"/>
  <c r="D42" i="9"/>
  <c r="D43" i="9"/>
  <c r="D44" i="9"/>
  <c r="F35" i="9"/>
  <c r="D35" i="9"/>
  <c r="B36" i="9"/>
  <c r="B37" i="9"/>
  <c r="B38" i="9"/>
  <c r="B39" i="9"/>
  <c r="B40" i="9"/>
  <c r="B41" i="9"/>
  <c r="B42" i="9"/>
  <c r="B43" i="9"/>
  <c r="B44" i="9"/>
  <c r="B35" i="9"/>
  <c r="B27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H3" i="9"/>
  <c r="G3" i="9"/>
  <c r="F4" i="9"/>
  <c r="F5" i="9"/>
  <c r="F6" i="9"/>
  <c r="F7" i="9"/>
  <c r="F8" i="9"/>
  <c r="F9" i="9"/>
  <c r="F10" i="9"/>
  <c r="F11" i="9"/>
  <c r="F12" i="9"/>
  <c r="F3" i="9"/>
  <c r="D3" i="8"/>
  <c r="D4" i="8"/>
  <c r="I4" i="8" s="1"/>
  <c r="D5" i="8"/>
  <c r="I5" i="8" s="1"/>
  <c r="D6" i="8"/>
  <c r="C3" i="8"/>
  <c r="C4" i="8"/>
  <c r="H4" i="8" s="1"/>
  <c r="C5" i="8"/>
  <c r="C6" i="8"/>
  <c r="D2" i="8"/>
  <c r="C2" i="8"/>
  <c r="I2" i="8"/>
  <c r="B3" i="8"/>
  <c r="G3" i="8" s="1"/>
  <c r="B4" i="8"/>
  <c r="B5" i="8"/>
  <c r="G5" i="8" s="1"/>
  <c r="B6" i="8"/>
  <c r="B2" i="8"/>
  <c r="B2" i="5"/>
  <c r="H6" i="8"/>
  <c r="G6" i="8"/>
  <c r="I6" i="8"/>
  <c r="H5" i="8"/>
  <c r="G4" i="8"/>
  <c r="I3" i="8"/>
  <c r="H3" i="8"/>
  <c r="H2" i="8"/>
  <c r="G2" i="8"/>
  <c r="I6" i="6"/>
  <c r="I5" i="6"/>
  <c r="I2" i="6"/>
  <c r="H6" i="6"/>
  <c r="H5" i="6"/>
  <c r="H4" i="6"/>
  <c r="H2" i="6"/>
  <c r="G6" i="6"/>
  <c r="G5" i="6"/>
  <c r="G4" i="6"/>
  <c r="G3" i="6"/>
  <c r="G2" i="6"/>
  <c r="I4" i="6"/>
  <c r="I3" i="6"/>
  <c r="H3" i="6"/>
  <c r="T26" i="4"/>
  <c r="U26" i="4" s="1"/>
  <c r="T25" i="4"/>
  <c r="U25" i="4" s="1"/>
  <c r="T24" i="4"/>
  <c r="U24" i="4" s="1"/>
  <c r="T23" i="4"/>
  <c r="U23" i="4" s="1"/>
  <c r="T22" i="4"/>
  <c r="U22" i="4" s="1"/>
  <c r="T26" i="3"/>
  <c r="U26" i="3" s="1"/>
  <c r="U25" i="3"/>
  <c r="T25" i="3"/>
  <c r="T24" i="3"/>
  <c r="U24" i="3" s="1"/>
  <c r="T23" i="3"/>
  <c r="U23" i="3" s="1"/>
  <c r="T22" i="3"/>
  <c r="U22" i="3" s="1"/>
  <c r="T23" i="2"/>
  <c r="T24" i="2"/>
  <c r="T25" i="2"/>
  <c r="T26" i="2"/>
  <c r="T22" i="2"/>
  <c r="L41" i="9" l="1"/>
  <c r="I19" i="12"/>
  <c r="B37" i="12" s="1"/>
  <c r="L32" i="12"/>
  <c r="K19" i="12"/>
  <c r="P34" i="12" s="1"/>
  <c r="O33" i="12"/>
  <c r="P33" i="12"/>
  <c r="F36" i="12"/>
  <c r="L38" i="11"/>
  <c r="R32" i="11"/>
  <c r="R37" i="11"/>
  <c r="L40" i="11"/>
  <c r="R34" i="11"/>
  <c r="L33" i="11"/>
  <c r="L36" i="11"/>
  <c r="L32" i="11"/>
  <c r="R36" i="11"/>
  <c r="R39" i="11"/>
  <c r="L35" i="11"/>
  <c r="R41" i="11"/>
  <c r="R33" i="11"/>
  <c r="L39" i="11"/>
  <c r="O42" i="11"/>
  <c r="R38" i="11"/>
  <c r="L41" i="11"/>
  <c r="K42" i="11"/>
  <c r="P42" i="11"/>
  <c r="R35" i="11"/>
  <c r="J42" i="11"/>
  <c r="Q42" i="11"/>
  <c r="L37" i="11"/>
  <c r="R40" i="11"/>
  <c r="L34" i="11"/>
  <c r="I33" i="12"/>
  <c r="J33" i="12"/>
  <c r="K33" i="12"/>
  <c r="R32" i="12"/>
  <c r="M19" i="12"/>
  <c r="I42" i="11"/>
  <c r="Q33" i="10"/>
  <c r="I33" i="10"/>
  <c r="K33" i="10"/>
  <c r="P33" i="10"/>
  <c r="J33" i="10"/>
  <c r="O33" i="10"/>
  <c r="R40" i="9"/>
  <c r="L34" i="9"/>
  <c r="L38" i="9"/>
  <c r="R32" i="9"/>
  <c r="L37" i="9"/>
  <c r="L39" i="9"/>
  <c r="L36" i="9"/>
  <c r="R39" i="9"/>
  <c r="R34" i="9"/>
  <c r="I42" i="9"/>
  <c r="L33" i="9"/>
  <c r="O42" i="9"/>
  <c r="J42" i="9"/>
  <c r="L35" i="9"/>
  <c r="R41" i="9"/>
  <c r="R36" i="9"/>
  <c r="R33" i="9"/>
  <c r="P42" i="9"/>
  <c r="R37" i="9"/>
  <c r="R35" i="9"/>
  <c r="R38" i="9"/>
  <c r="L32" i="9"/>
  <c r="K42" i="9"/>
  <c r="Q42" i="9"/>
  <c r="L40" i="9"/>
  <c r="I19" i="10"/>
  <c r="K19" i="10"/>
  <c r="M19" i="10"/>
  <c r="R32" i="10"/>
  <c r="K2" i="8"/>
  <c r="K2" i="6"/>
  <c r="V22" i="4"/>
  <c r="R33" i="12" l="1"/>
  <c r="I34" i="12"/>
  <c r="I20" i="12"/>
  <c r="O35" i="12" s="1"/>
  <c r="O34" i="12"/>
  <c r="J34" i="12"/>
  <c r="K20" i="12"/>
  <c r="J35" i="12" s="1"/>
  <c r="D37" i="12"/>
  <c r="L33" i="12"/>
  <c r="R42" i="11"/>
  <c r="L42" i="11"/>
  <c r="Q34" i="12"/>
  <c r="K34" i="12"/>
  <c r="M20" i="12"/>
  <c r="F37" i="12"/>
  <c r="M20" i="10"/>
  <c r="F38" i="10" s="1"/>
  <c r="K34" i="10"/>
  <c r="Q34" i="10"/>
  <c r="I20" i="10"/>
  <c r="B38" i="10" s="1"/>
  <c r="I34" i="10"/>
  <c r="O34" i="10"/>
  <c r="K20" i="10"/>
  <c r="P34" i="10"/>
  <c r="J34" i="10"/>
  <c r="R42" i="9"/>
  <c r="L42" i="9"/>
  <c r="B37" i="10"/>
  <c r="D37" i="10"/>
  <c r="F37" i="10"/>
  <c r="R33" i="10"/>
  <c r="L33" i="10"/>
  <c r="L32" i="10"/>
  <c r="B38" i="12" l="1"/>
  <c r="I21" i="12"/>
  <c r="I22" i="12" s="1"/>
  <c r="I35" i="12"/>
  <c r="P35" i="12"/>
  <c r="D38" i="12"/>
  <c r="K21" i="12"/>
  <c r="K22" i="12" s="1"/>
  <c r="I44" i="11"/>
  <c r="F38" i="12"/>
  <c r="Q35" i="12"/>
  <c r="K35" i="12"/>
  <c r="M21" i="12"/>
  <c r="R34" i="12"/>
  <c r="L34" i="12"/>
  <c r="D38" i="10"/>
  <c r="K21" i="10"/>
  <c r="J35" i="10"/>
  <c r="P35" i="10"/>
  <c r="I21" i="10"/>
  <c r="I35" i="10"/>
  <c r="O35" i="10"/>
  <c r="M21" i="10"/>
  <c r="K35" i="10"/>
  <c r="Q35" i="10"/>
  <c r="I44" i="9"/>
  <c r="D4" i="5"/>
  <c r="K4" i="5" s="1"/>
  <c r="D5" i="5"/>
  <c r="K5" i="5" s="1"/>
  <c r="D6" i="5"/>
  <c r="K6" i="5" s="1"/>
  <c r="D7" i="5"/>
  <c r="D8" i="5"/>
  <c r="D9" i="5"/>
  <c r="D10" i="5"/>
  <c r="D11" i="5"/>
  <c r="D3" i="5"/>
  <c r="K3" i="5" s="1"/>
  <c r="D2" i="5"/>
  <c r="K2" i="5" s="1"/>
  <c r="C4" i="5"/>
  <c r="J4" i="5" s="1"/>
  <c r="C5" i="5"/>
  <c r="J5" i="5" s="1"/>
  <c r="C6" i="5"/>
  <c r="J6" i="5" s="1"/>
  <c r="C7" i="5"/>
  <c r="C8" i="5"/>
  <c r="C9" i="5"/>
  <c r="C10" i="5"/>
  <c r="C11" i="5"/>
  <c r="C3" i="5"/>
  <c r="J3" i="5" s="1"/>
  <c r="C2" i="5"/>
  <c r="J2" i="5" s="1"/>
  <c r="B4" i="5"/>
  <c r="I4" i="5" s="1"/>
  <c r="B5" i="5"/>
  <c r="I5" i="5" s="1"/>
  <c r="B6" i="5"/>
  <c r="I6" i="5" s="1"/>
  <c r="B7" i="5"/>
  <c r="B8" i="5"/>
  <c r="B9" i="5"/>
  <c r="B10" i="5"/>
  <c r="B11" i="5"/>
  <c r="B3" i="5"/>
  <c r="I3" i="5" s="1"/>
  <c r="I2" i="5"/>
  <c r="L35" i="12" l="1"/>
  <c r="I36" i="12"/>
  <c r="O36" i="12"/>
  <c r="B39" i="12"/>
  <c r="J36" i="12"/>
  <c r="P36" i="12"/>
  <c r="D39" i="12"/>
  <c r="P37" i="12"/>
  <c r="J37" i="12"/>
  <c r="K23" i="12"/>
  <c r="D40" i="12"/>
  <c r="F39" i="12"/>
  <c r="Q36" i="12"/>
  <c r="M22" i="12"/>
  <c r="K36" i="12"/>
  <c r="O37" i="12"/>
  <c r="B40" i="12"/>
  <c r="I37" i="12"/>
  <c r="I23" i="12"/>
  <c r="R35" i="12"/>
  <c r="R35" i="10"/>
  <c r="I22" i="10"/>
  <c r="I36" i="10"/>
  <c r="O36" i="10"/>
  <c r="B39" i="10"/>
  <c r="M22" i="10"/>
  <c r="K36" i="10"/>
  <c r="Q36" i="10"/>
  <c r="F39" i="10"/>
  <c r="K22" i="10"/>
  <c r="J36" i="10"/>
  <c r="P36" i="10"/>
  <c r="D39" i="10"/>
  <c r="R34" i="10"/>
  <c r="L34" i="10"/>
  <c r="L35" i="10"/>
  <c r="M2" i="5"/>
  <c r="L36" i="12" l="1"/>
  <c r="R36" i="12"/>
  <c r="J38" i="12"/>
  <c r="D41" i="12"/>
  <c r="K24" i="12"/>
  <c r="P38" i="12"/>
  <c r="I38" i="12"/>
  <c r="I24" i="12"/>
  <c r="B41" i="12"/>
  <c r="O38" i="12"/>
  <c r="K37" i="12"/>
  <c r="L37" i="12" s="1"/>
  <c r="M23" i="12"/>
  <c r="F40" i="12"/>
  <c r="Q37" i="12"/>
  <c r="R37" i="12" s="1"/>
  <c r="R36" i="10"/>
  <c r="L36" i="10"/>
  <c r="M23" i="10"/>
  <c r="Q37" i="10"/>
  <c r="K37" i="10"/>
  <c r="F40" i="10"/>
  <c r="K23" i="10"/>
  <c r="P37" i="10"/>
  <c r="J37" i="10"/>
  <c r="D40" i="10"/>
  <c r="I23" i="10"/>
  <c r="O37" i="10"/>
  <c r="I37" i="10"/>
  <c r="B40" i="10"/>
  <c r="K38" i="12" l="1"/>
  <c r="L38" i="12" s="1"/>
  <c r="M24" i="12"/>
  <c r="F41" i="12"/>
  <c r="Q38" i="12"/>
  <c r="R38" i="12" s="1"/>
  <c r="D42" i="12"/>
  <c r="P39" i="12"/>
  <c r="K25" i="12"/>
  <c r="J39" i="12"/>
  <c r="I25" i="12"/>
  <c r="B42" i="12"/>
  <c r="O39" i="12"/>
  <c r="I39" i="12"/>
  <c r="R37" i="10"/>
  <c r="L37" i="10"/>
  <c r="K24" i="10"/>
  <c r="P38" i="10"/>
  <c r="J38" i="10"/>
  <c r="D41" i="10"/>
  <c r="I24" i="10"/>
  <c r="O38" i="10"/>
  <c r="I38" i="10"/>
  <c r="B41" i="10"/>
  <c r="M24" i="10"/>
  <c r="K38" i="10"/>
  <c r="Q38" i="10"/>
  <c r="F41" i="10"/>
  <c r="O40" i="12" l="1"/>
  <c r="I40" i="12"/>
  <c r="I26" i="12"/>
  <c r="B43" i="12"/>
  <c r="Q39" i="12"/>
  <c r="R39" i="12" s="1"/>
  <c r="F42" i="12"/>
  <c r="K39" i="12"/>
  <c r="L39" i="12" s="1"/>
  <c r="M25" i="12"/>
  <c r="J40" i="12"/>
  <c r="K26" i="12"/>
  <c r="D43" i="12"/>
  <c r="P40" i="12"/>
  <c r="R38" i="10"/>
  <c r="L38" i="10"/>
  <c r="I25" i="10"/>
  <c r="I39" i="10"/>
  <c r="O39" i="10"/>
  <c r="B42" i="10"/>
  <c r="M25" i="10"/>
  <c r="Q39" i="10"/>
  <c r="K39" i="10"/>
  <c r="F42" i="10"/>
  <c r="K25" i="10"/>
  <c r="J39" i="10"/>
  <c r="P39" i="10"/>
  <c r="D42" i="10"/>
  <c r="J41" i="12" l="1"/>
  <c r="J42" i="12" s="1"/>
  <c r="K27" i="12"/>
  <c r="D44" i="12"/>
  <c r="P41" i="12"/>
  <c r="P42" i="12" s="1"/>
  <c r="I41" i="12"/>
  <c r="B44" i="12"/>
  <c r="O41" i="12"/>
  <c r="I27" i="12"/>
  <c r="K40" i="12"/>
  <c r="L40" i="12" s="1"/>
  <c r="M26" i="12"/>
  <c r="F43" i="12"/>
  <c r="Q40" i="12"/>
  <c r="R40" i="12" s="1"/>
  <c r="R39" i="10"/>
  <c r="L39" i="10"/>
  <c r="M26" i="10"/>
  <c r="Q40" i="10"/>
  <c r="K40" i="10"/>
  <c r="F43" i="10"/>
  <c r="K26" i="10"/>
  <c r="P40" i="10"/>
  <c r="J40" i="10"/>
  <c r="D43" i="10"/>
  <c r="I26" i="10"/>
  <c r="O40" i="10"/>
  <c r="I40" i="10"/>
  <c r="B43" i="10"/>
  <c r="I42" i="12" l="1"/>
  <c r="F44" i="12"/>
  <c r="Q41" i="12"/>
  <c r="Q42" i="12" s="1"/>
  <c r="K41" i="12"/>
  <c r="K42" i="12" s="1"/>
  <c r="M27" i="12"/>
  <c r="O42" i="12"/>
  <c r="L40" i="10"/>
  <c r="K27" i="10"/>
  <c r="J41" i="10"/>
  <c r="J42" i="10" s="1"/>
  <c r="P41" i="10"/>
  <c r="P42" i="10" s="1"/>
  <c r="D44" i="10"/>
  <c r="R40" i="10"/>
  <c r="I27" i="10"/>
  <c r="I41" i="10"/>
  <c r="I42" i="10" s="1"/>
  <c r="O41" i="10"/>
  <c r="O42" i="10" s="1"/>
  <c r="B44" i="10"/>
  <c r="M27" i="10"/>
  <c r="K41" i="10"/>
  <c r="K42" i="10" s="1"/>
  <c r="Q41" i="10"/>
  <c r="Q42" i="10" s="1"/>
  <c r="F44" i="10"/>
  <c r="R42" i="12" l="1"/>
  <c r="R41" i="12"/>
  <c r="L41" i="12"/>
  <c r="L42" i="12"/>
  <c r="L41" i="10"/>
  <c r="R42" i="10"/>
  <c r="R41" i="10"/>
  <c r="L42" i="10"/>
  <c r="I44" i="12" l="1"/>
  <c r="I4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CC9249-7D84-48EE-A339-12E5680428A4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2CB6BBA0-979D-4543-A935-F545C81E6A9A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  <connection id="3" xr16:uid="{C10C8509-79E1-4E2E-9E71-37637106D51F}" keepAlive="1" name="Query - Table3" description="Connection to the 'Table3' query in the workbook." type="5" refreshedVersion="8" background="1" saveData="1">
    <dbPr connection="Provider=Microsoft.Mashup.OleDb.1;Data Source=$Workbook$;Location=Table3;Extended Properties=&quot;&quot;" command="SELECT * FROM [Table3]"/>
  </connection>
  <connection id="4" xr16:uid="{AF0C24E2-ECAF-4BDF-8A7D-777C2CCE5E54}" keepAlive="1" name="Query - Table3 (2)" description="Connection to the 'Table3 (2)' query in the workbook." type="5" refreshedVersion="8" background="1" saveData="1">
    <dbPr connection="Provider=Microsoft.Mashup.OleDb.1;Data Source=$Workbook$;Location=&quot;Table3 (2)&quot;;Extended Properties=&quot;&quot;" command="SELECT * FROM [Table3 (2)]"/>
  </connection>
</connections>
</file>

<file path=xl/sharedStrings.xml><?xml version="1.0" encoding="utf-8"?>
<sst xmlns="http://schemas.openxmlformats.org/spreadsheetml/2006/main" count="1635" uniqueCount="271">
  <si>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</si>
  <si>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</si>
  <si>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</si>
  <si>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</si>
  <si>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</si>
  <si>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</si>
  <si>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</si>
  <si>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</si>
  <si>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</si>
  <si>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</si>
  <si>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Alpha=</t>
  </si>
  <si>
    <t>MSE</t>
  </si>
  <si>
    <t>Store 1</t>
  </si>
  <si>
    <t>Store 2</t>
  </si>
  <si>
    <t>Store 3</t>
  </si>
  <si>
    <t>D11_2019</t>
  </si>
  <si>
    <t>D12_2019</t>
  </si>
  <si>
    <t>D13_2019</t>
  </si>
  <si>
    <t>Column1</t>
  </si>
  <si>
    <t>2017</t>
  </si>
  <si>
    <t>2018</t>
  </si>
  <si>
    <t>2019</t>
  </si>
  <si>
    <t>Week</t>
  </si>
  <si>
    <t>Year</t>
  </si>
  <si>
    <t>Demand</t>
  </si>
  <si>
    <t>Store_No.</t>
  </si>
  <si>
    <t>Store3</t>
  </si>
  <si>
    <t>Store1</t>
  </si>
  <si>
    <t>Store2</t>
  </si>
  <si>
    <t>is_week1</t>
  </si>
  <si>
    <t>is_week2</t>
  </si>
  <si>
    <t>is_week3</t>
  </si>
  <si>
    <t>is_week4</t>
  </si>
  <si>
    <t>is_week5</t>
  </si>
  <si>
    <t>is_week6</t>
  </si>
  <si>
    <t>is_week7</t>
  </si>
  <si>
    <t>is_week8</t>
  </si>
  <si>
    <t>is_week9</t>
  </si>
  <si>
    <t>is_week10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</si>
  <si>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</si>
  <si>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</si>
  <si>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</si>
  <si>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</si>
  <si>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</si>
  <si>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</si>
  <si>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</si>
  <si>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</si>
  <si>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</si>
  <si>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</si>
  <si>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</si>
  <si>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</si>
  <si>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</si>
  <si>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</si>
  <si>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</si>
  <si>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</si>
  <si>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</si>
  <si>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</si>
  <si>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</si>
  <si>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</si>
  <si>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</si>
  <si>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</si>
  <si>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</si>
  <si>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</si>
  <si>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is_2017</t>
  </si>
  <si>
    <t>is_2018</t>
  </si>
  <si>
    <t>is_2019</t>
  </si>
  <si>
    <t>Prediction</t>
  </si>
  <si>
    <t>SSE</t>
  </si>
  <si>
    <t>Model 3:</t>
  </si>
  <si>
    <t>Model 2:</t>
  </si>
  <si>
    <t>Model 1:</t>
  </si>
  <si>
    <t>Best model Predicted Demand:</t>
  </si>
  <si>
    <t>Rounded-Up Predicted Demand:</t>
  </si>
  <si>
    <t>(refer individual store demand sheet for LR model Calc)</t>
  </si>
  <si>
    <t>Decision Variables</t>
  </si>
  <si>
    <t>Value</t>
  </si>
  <si>
    <t>X1,1</t>
  </si>
  <si>
    <t>X2,1</t>
  </si>
  <si>
    <t>X3,1</t>
  </si>
  <si>
    <t>X1,2</t>
  </si>
  <si>
    <t>X2,2</t>
  </si>
  <si>
    <t>X3,2</t>
  </si>
  <si>
    <t>X1,3</t>
  </si>
  <si>
    <t>X2,3</t>
  </si>
  <si>
    <t>X3,3</t>
  </si>
  <si>
    <t>X1,4</t>
  </si>
  <si>
    <t>X2,4</t>
  </si>
  <si>
    <t>X3,4</t>
  </si>
  <si>
    <t>X1,5</t>
  </si>
  <si>
    <t>X2,5</t>
  </si>
  <si>
    <t>X3,5</t>
  </si>
  <si>
    <t>X1,6</t>
  </si>
  <si>
    <t>X2,6</t>
  </si>
  <si>
    <t>X3,6</t>
  </si>
  <si>
    <t>X1,7</t>
  </si>
  <si>
    <t>X2,7</t>
  </si>
  <si>
    <t>X3,7</t>
  </si>
  <si>
    <t>X1,8</t>
  </si>
  <si>
    <t>X2,8</t>
  </si>
  <si>
    <t>X3,8</t>
  </si>
  <si>
    <t>X1,9</t>
  </si>
  <si>
    <t>X2,9</t>
  </si>
  <si>
    <t>X3,9</t>
  </si>
  <si>
    <t>X1,10</t>
  </si>
  <si>
    <t>X2,10</t>
  </si>
  <si>
    <t>X3,10</t>
  </si>
  <si>
    <t>obj fun=</t>
  </si>
  <si>
    <t>Q=</t>
  </si>
  <si>
    <t>D1,1</t>
  </si>
  <si>
    <t>D2,1</t>
  </si>
  <si>
    <t>D3,1</t>
  </si>
  <si>
    <t>D1,2</t>
  </si>
  <si>
    <t>D2,2</t>
  </si>
  <si>
    <t>D3,2</t>
  </si>
  <si>
    <t>D1,3</t>
  </si>
  <si>
    <t>D2,3</t>
  </si>
  <si>
    <t>D3,3</t>
  </si>
  <si>
    <t>D1,4</t>
  </si>
  <si>
    <t>D2,4</t>
  </si>
  <si>
    <t>D3,4</t>
  </si>
  <si>
    <t>D1,5</t>
  </si>
  <si>
    <t>D2,5</t>
  </si>
  <si>
    <t>D3,5</t>
  </si>
  <si>
    <t>D1,6</t>
  </si>
  <si>
    <t>D2,6</t>
  </si>
  <si>
    <t>D3,6</t>
  </si>
  <si>
    <t>D1,7</t>
  </si>
  <si>
    <t>D2,7</t>
  </si>
  <si>
    <t>D3,7</t>
  </si>
  <si>
    <t>D1,8</t>
  </si>
  <si>
    <t>D2,8</t>
  </si>
  <si>
    <t>D3,8</t>
  </si>
  <si>
    <t>D1,9</t>
  </si>
  <si>
    <t>D2,9</t>
  </si>
  <si>
    <t>D3,9</t>
  </si>
  <si>
    <t>D1,10</t>
  </si>
  <si>
    <t>D2,10</t>
  </si>
  <si>
    <t>D3,10</t>
  </si>
  <si>
    <t>Invetory</t>
  </si>
  <si>
    <t>I1,1</t>
  </si>
  <si>
    <t>I2,1</t>
  </si>
  <si>
    <t>I3,1</t>
  </si>
  <si>
    <t>I1,2</t>
  </si>
  <si>
    <t>I2,2</t>
  </si>
  <si>
    <t>I3,2</t>
  </si>
  <si>
    <t>I1,3</t>
  </si>
  <si>
    <t>I2,3</t>
  </si>
  <si>
    <t>I3,3</t>
  </si>
  <si>
    <t>I1,4</t>
  </si>
  <si>
    <t>I2,4</t>
  </si>
  <si>
    <t>I3,4</t>
  </si>
  <si>
    <t>I1,5</t>
  </si>
  <si>
    <t>I2,5</t>
  </si>
  <si>
    <t>I3,5</t>
  </si>
  <si>
    <t>I1,6</t>
  </si>
  <si>
    <t>I2,6</t>
  </si>
  <si>
    <t>I3,6</t>
  </si>
  <si>
    <t>I1,7</t>
  </si>
  <si>
    <t>I2,7</t>
  </si>
  <si>
    <t>I3,7</t>
  </si>
  <si>
    <t>I1,8</t>
  </si>
  <si>
    <t>I2,8</t>
  </si>
  <si>
    <t>I3,8</t>
  </si>
  <si>
    <t>I1,9</t>
  </si>
  <si>
    <t>I2,9</t>
  </si>
  <si>
    <t>I3,9</t>
  </si>
  <si>
    <t>I1,10</t>
  </si>
  <si>
    <t>I2,10</t>
  </si>
  <si>
    <t>I3,10</t>
  </si>
  <si>
    <t>Min-Max</t>
  </si>
  <si>
    <t>L1,1</t>
  </si>
  <si>
    <t>U1,1</t>
  </si>
  <si>
    <t>L2,1</t>
  </si>
  <si>
    <t>U2,1</t>
  </si>
  <si>
    <t>L3,1</t>
  </si>
  <si>
    <t>U3,1</t>
  </si>
  <si>
    <t>L1,2</t>
  </si>
  <si>
    <t>U1,2</t>
  </si>
  <si>
    <t>L2,2</t>
  </si>
  <si>
    <t>U2,2</t>
  </si>
  <si>
    <t>L3,2</t>
  </si>
  <si>
    <t>U3,2</t>
  </si>
  <si>
    <t>L1,3</t>
  </si>
  <si>
    <t>U1,3</t>
  </si>
  <si>
    <t>L2,3</t>
  </si>
  <si>
    <t>U2,3</t>
  </si>
  <si>
    <t>L3,3</t>
  </si>
  <si>
    <t>U3,3</t>
  </si>
  <si>
    <t>L1,4</t>
  </si>
  <si>
    <t>U1,4</t>
  </si>
  <si>
    <t>L2,4</t>
  </si>
  <si>
    <t>U2,4</t>
  </si>
  <si>
    <t>L3,4</t>
  </si>
  <si>
    <t>U3,4</t>
  </si>
  <si>
    <t>L1,5</t>
  </si>
  <si>
    <t>U1,5</t>
  </si>
  <si>
    <t>L2,5</t>
  </si>
  <si>
    <t>U2,5</t>
  </si>
  <si>
    <t>L3,5</t>
  </si>
  <si>
    <t>U3,5</t>
  </si>
  <si>
    <t>L1,6</t>
  </si>
  <si>
    <t>U1,6</t>
  </si>
  <si>
    <t>L2,6</t>
  </si>
  <si>
    <t>U2,6</t>
  </si>
  <si>
    <t>L3,6</t>
  </si>
  <si>
    <t>U3,6</t>
  </si>
  <si>
    <t>L1,7</t>
  </si>
  <si>
    <t>U1,7</t>
  </si>
  <si>
    <t>L2,7</t>
  </si>
  <si>
    <t>U2,7</t>
  </si>
  <si>
    <t>L3,7</t>
  </si>
  <si>
    <t>U3,7</t>
  </si>
  <si>
    <t>L1,8</t>
  </si>
  <si>
    <t>U1,8</t>
  </si>
  <si>
    <t>L2,8</t>
  </si>
  <si>
    <t>U2,8</t>
  </si>
  <si>
    <t>L3,8</t>
  </si>
  <si>
    <t>U3,8</t>
  </si>
  <si>
    <t>L1,9</t>
  </si>
  <si>
    <t>U1,9</t>
  </si>
  <si>
    <t>L2,9</t>
  </si>
  <si>
    <t>U2,9</t>
  </si>
  <si>
    <t>L3,9</t>
  </si>
  <si>
    <t>U3,9</t>
  </si>
  <si>
    <t>L1,10</t>
  </si>
  <si>
    <t>U1,10</t>
  </si>
  <si>
    <t>L2,10</t>
  </si>
  <si>
    <t>U2,10</t>
  </si>
  <si>
    <t>L3,10</t>
  </si>
  <si>
    <t>U3,10</t>
  </si>
  <si>
    <t>Lost sales</t>
  </si>
  <si>
    <t>Unsold Item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</si>
  <si>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</si>
  <si>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</si>
  <si>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</si>
  <si>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</si>
  <si>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</si>
  <si>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</si>
  <si>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</si>
  <si>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</si>
  <si>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</si>
  <si>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</si>
  <si>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Demand Constraints</t>
  </si>
  <si>
    <t>X1,1+I1,1</t>
  </si>
  <si>
    <t>X2,1+I2,1</t>
  </si>
  <si>
    <t>X1,2+I1,2</t>
  </si>
  <si>
    <t>X2,2+I2,2</t>
  </si>
  <si>
    <t>X1,3+I1,3</t>
  </si>
  <si>
    <t>X2,3+I2,3</t>
  </si>
  <si>
    <t>X1,4+I1,4</t>
  </si>
  <si>
    <t>X2,4+I2,4</t>
  </si>
  <si>
    <t>X1,5+I1,5</t>
  </si>
  <si>
    <t>X2,5+I2,5</t>
  </si>
  <si>
    <t>X1,6+I1,6</t>
  </si>
  <si>
    <t>X2,6+I2,6</t>
  </si>
  <si>
    <t>X1,7+I1,7</t>
  </si>
  <si>
    <t>X2,7+I2,7</t>
  </si>
  <si>
    <t>X1,8+I1,8</t>
  </si>
  <si>
    <t>X2,8+I2,8</t>
  </si>
  <si>
    <t>X1,9+I1,9</t>
  </si>
  <si>
    <t>X2,9+I2,9</t>
  </si>
  <si>
    <t>X1,10+I1,10</t>
  </si>
  <si>
    <t>X2,10+I2,10</t>
  </si>
  <si>
    <t>total cost=</t>
  </si>
  <si>
    <t>Predicted Demand</t>
  </si>
  <si>
    <t>Actual Demand</t>
  </si>
  <si>
    <t>(max allocation was objective)</t>
  </si>
  <si>
    <t>(min cost was objective)</t>
  </si>
  <si>
    <t>SE (Squared Error)</t>
  </si>
  <si>
    <t>Lost sales (Shortages)</t>
  </si>
  <si>
    <t>Unsold Items (subject to holding charges)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</si>
</sst>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3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/>
    <xf numFmtId="0" fontId="4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Continuous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4" fillId="0" borderId="0" xfId="0" applyFont="1" applyAlignment="1">
      <alignment horizontal="centerContinuous"/>
    </xf>
    <xf numFmtId="0" fontId="4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12" xfId="0" applyFon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3" fillId="0" borderId="16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3" fillId="0" borderId="13" xfId="0" applyFont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0" fillId="0" borderId="12" xfId="0" applyBorder="1" applyAlignment="1">
      <alignment horizontal="left"/>
    </xf>
  </cellXfs>
  <cellStyles count="1">
    <cellStyle name="Normal" xfId="0" builtinId="0"/>
  </cellStyles>
  <dxfs count="37"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</xdr:row>
      <xdr:rowOff>0</xdr:rowOff>
    </xdr:from>
    <xdr:to>
      <xdr:col>15</xdr:col>
      <xdr:colOff>15717</xdr:colOff>
      <xdr:row>36</xdr:row>
      <xdr:rowOff>8064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798006-4CCC-EE28-3201-D645D9220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1463040"/>
          <a:ext cx="5502117" cy="51287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125730</xdr:colOff>
      <xdr:row>0</xdr:row>
      <xdr:rowOff>135255</xdr:rowOff>
    </xdr:from>
    <xdr:to>
      <xdr:col>27</xdr:col>
      <xdr:colOff>475486</xdr:colOff>
      <xdr:row>35</xdr:row>
      <xdr:rowOff>111036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232375-168F-481A-A2E0-661444774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0015" y="131445"/>
          <a:ext cx="13155166" cy="63137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29</xdr:row>
      <xdr:rowOff>0</xdr:rowOff>
    </xdr:from>
    <xdr:to>
      <xdr:col>25</xdr:col>
      <xdr:colOff>590918</xdr:colOff>
      <xdr:row>50</xdr:row>
      <xdr:rowOff>95587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5BEF66-15D3-43F1-95A7-B78115A3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5248275"/>
          <a:ext cx="4248518" cy="3888442"/>
        </a:xfrm>
        <a:prstGeom prst="rect">
          <a:avLst/>
        </a:prstGeom>
      </xdr:spPr>
    </xdr:pic>
    <xdr:clientData/>
  </xdr:twoCellAnchor>
  <xdr:twoCellAnchor editAs="oneCell">
    <xdr:from>
      <xdr:col>21</xdr:col>
      <xdr:colOff>136326</xdr:colOff>
      <xdr:row>38</xdr:row>
      <xdr:rowOff>163830</xdr:rowOff>
    </xdr:from>
    <xdr:to>
      <xdr:col>26</xdr:col>
      <xdr:colOff>53587</xdr:colOff>
      <xdr:row>40</xdr:row>
      <xdr:rowOff>53362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CB9192-F275-41DD-BA34-EB699993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33301" y="7040880"/>
          <a:ext cx="2965261" cy="2457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45</xdr:row>
      <xdr:rowOff>0</xdr:rowOff>
    </xdr:from>
    <xdr:to>
      <xdr:col>8</xdr:col>
      <xdr:colOff>404329</xdr:colOff>
      <xdr:row>73</xdr:row>
      <xdr:rowOff>444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C9293F-F08A-77A6-9B43-BD93CBBD1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7740" y="8229600"/>
          <a:ext cx="5410669" cy="5121084"/>
        </a:xfrm>
        <a:prstGeom prst="rect">
          <a:avLst/>
        </a:prstGeom>
      </xdr:spPr>
    </xdr:pic>
    <xdr:clientData/>
  </xdr:twoCellAnchor>
  <xdr:twoCellAnchor editAs="oneCell">
    <xdr:from>
      <xdr:col>3</xdr:col>
      <xdr:colOff>327660</xdr:colOff>
      <xdr:row>60</xdr:row>
      <xdr:rowOff>121920</xdr:rowOff>
    </xdr:from>
    <xdr:to>
      <xdr:col>6</xdr:col>
      <xdr:colOff>594567</xdr:colOff>
      <xdr:row>62</xdr:row>
      <xdr:rowOff>45745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9087C6-725C-3C3F-BD33-D23C7AB2E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59380" y="11094720"/>
          <a:ext cx="2385267" cy="28958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848D196-33E8-490C-890F-793904A40B67}" autoFormatId="16" applyNumberFormats="0" applyBorderFormats="0" applyFontFormats="0" applyPatternFormats="0" applyAlignmentFormats="0" applyWidthHeightFormats="0">
  <queryTableRefresh nextId="5">
    <queryTableFields count="4">
      <queryTableField id="1" name="Week" tableColumnId="1"/>
      <queryTableField id="2" name="Year" tableColumnId="2"/>
      <queryTableField id="3" name="Demand" tableColumnId="3"/>
      <queryTableField id="4" name="Store_No.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9B998F-054B-4340-8185-493798311A24}" name="Table1" displayName="Table1" ref="A1:D11" totalsRowShown="0" headerRowDxfId="36" dataDxfId="35">
  <autoFilter ref="A1:D11" xr:uid="{509B998F-054B-4340-8185-493798311A24}"/>
  <tableColumns count="4">
    <tableColumn id="1" xr3:uid="{FCB98B3C-5290-4D3F-A4F3-CCE68757F698}" name="Column1" dataDxfId="34"/>
    <tableColumn id="2" xr3:uid="{294378D6-FB9C-4520-A50A-8C02A43BFAEB}" name="2017" dataDxfId="33"/>
    <tableColumn id="3" xr3:uid="{E13D5A77-33FB-4322-ABB3-CD0C7AE6129D}" name="2018" dataDxfId="32"/>
    <tableColumn id="4" xr3:uid="{6358F508-0773-41CF-85CE-AB7853D9375F}" name="2019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F03692-F799-485B-89C2-092B888555D6}" name="Table5" displayName="Table5" ref="F1:S11" totalsRowShown="0" headerRowDxfId="30" dataDxfId="29" tableBorderDxfId="28">
  <autoFilter ref="F1:S11" xr:uid="{EAF03692-F799-485B-89C2-092B888555D6}"/>
  <tableColumns count="14">
    <tableColumn id="1" xr3:uid="{364DCE83-CAF1-4B0F-A30E-265DACE8016B}" name="is_week1" dataDxfId="27"/>
    <tableColumn id="2" xr3:uid="{9B280088-E1AC-4C11-B109-83819EE9C9ED}" name="is_week2" dataDxfId="26"/>
    <tableColumn id="3" xr3:uid="{11AE3484-83CE-4200-9FCB-EB07596CEF5F}" name="is_week3" dataDxfId="25"/>
    <tableColumn id="4" xr3:uid="{0E36F212-F803-4F1D-89E0-2B7B60078BDA}" name="is_week4" dataDxfId="24"/>
    <tableColumn id="5" xr3:uid="{6E55D1FA-F262-4AAA-A06A-C0785C7EB7C1}" name="is_week5" dataDxfId="23"/>
    <tableColumn id="6" xr3:uid="{B650B662-5554-4D7A-AFFD-0A34DAA2D58A}" name="is_week6" dataDxfId="22"/>
    <tableColumn id="7" xr3:uid="{BC6A8F77-743E-441F-836A-FC5888888CBC}" name="is_week7" dataDxfId="21"/>
    <tableColumn id="8" xr3:uid="{13D63DA8-1149-480D-B00F-8EEB158128B0}" name="is_week8" dataDxfId="20"/>
    <tableColumn id="9" xr3:uid="{8238A717-0078-4095-A3D8-4921EF80F8A8}" name="is_week9" dataDxfId="19"/>
    <tableColumn id="10" xr3:uid="{B861BCBF-557E-45CF-B207-24F0012806D4}" name="is_week10" dataDxfId="18"/>
    <tableColumn id="11" xr3:uid="{829BC966-CE2F-40E0-93EF-EA34C66C3C93}" name="is_2017" dataDxfId="17"/>
    <tableColumn id="12" xr3:uid="{DFCB66B6-5192-40C2-BF6E-E728BED8671A}" name="is_2018" dataDxfId="16"/>
    <tableColumn id="13" xr3:uid="{88CE694F-91B9-41F7-A016-62C6132DB2DD}" name="is_2019" dataDxfId="15"/>
    <tableColumn id="14" xr3:uid="{60F028F7-F2C3-4A24-88F2-AD7AE9836E10}" name="Demand" dataDxfId="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427272-D34D-4E3D-96DE-C4E44B68FA09}" name="Table2" displayName="Table2" ref="A1:D11" totalsRowShown="0" headerRowDxfId="13" dataDxfId="12">
  <autoFilter ref="A1:D11" xr:uid="{F9427272-D34D-4E3D-96DE-C4E44B68FA09}"/>
  <tableColumns count="4">
    <tableColumn id="1" xr3:uid="{8BE9D3E5-9B30-49F7-ABBB-7B8922B30D18}" name="Column1" dataDxfId="11"/>
    <tableColumn id="2" xr3:uid="{10D21E78-C72C-4BCC-8121-6247565E1F27}" name="2017" dataDxfId="10"/>
    <tableColumn id="3" xr3:uid="{752A57E4-DBB2-4800-B107-9B4D671277C4}" name="2018" dataDxfId="9"/>
    <tableColumn id="4" xr3:uid="{82F6D83B-0246-4B75-9493-CBE7ABE1FFD8}" name="2019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FEDA7F-1A58-4F1F-B7C8-75B28D2EA0E7}" name="Table3" displayName="Table3" ref="A1:D11" totalsRowShown="0" headerRowDxfId="7" dataDxfId="6">
  <autoFilter ref="A1:D11" xr:uid="{CEFEDA7F-1A58-4F1F-B7C8-75B28D2EA0E7}"/>
  <tableColumns count="4">
    <tableColumn id="1" xr3:uid="{09BFAD13-EE62-4F63-A754-0DE4A4E43656}" name="Column1" dataDxfId="5"/>
    <tableColumn id="2" xr3:uid="{DDC0557D-31AF-45A2-B80B-A3CF0A00E340}" name="2017" dataDxfId="4"/>
    <tableColumn id="3" xr3:uid="{DA357988-500E-40B3-8E71-1207B5C48159}" name="2018" dataDxfId="3"/>
    <tableColumn id="4" xr3:uid="{C43BC9C0-56B7-49BE-AAD3-72FDCCD75786}" name="2019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19ED15-2F98-4627-AD3C-DE17E5CE7211}" name="Table3_27" displayName="Table3_27" ref="B1:E91" tableType="queryTable" totalsRowShown="0">
  <autoFilter ref="B1:E91" xr:uid="{0841A983-F121-423B-922F-52C4E7FC8CF5}"/>
  <sortState xmlns:xlrd2="http://schemas.microsoft.com/office/spreadsheetml/2017/richdata2" ref="B2:E91">
    <sortCondition ref="E1:E91"/>
  </sortState>
  <tableColumns count="4">
    <tableColumn id="1" xr3:uid="{2A8920F9-D7E7-45F0-8D64-D856E89F1213}" uniqueName="1" name="Week" queryTableFieldId="1" dataDxfId="1"/>
    <tableColumn id="2" xr3:uid="{AF416A78-A842-4057-9C78-26EE7021590D}" uniqueName="2" name="Year" queryTableFieldId="2" dataDxfId="0"/>
    <tableColumn id="3" xr3:uid="{9AF88D19-3FF5-40D5-A40F-4102594F29D2}" uniqueName="3" name="Demand" queryTableFieldId="3"/>
    <tableColumn id="4" xr3:uid="{B8BE1444-EE8A-4E69-A406-31A87051589E}" uniqueName="4" name="Store_No.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F21A3-7A2F-42C0-828D-A667610E6501}">
  <sheetPr codeName="Sheet1"/>
  <dimension ref="A1:V63"/>
  <sheetViews>
    <sheetView topLeftCell="C1" zoomScaleNormal="100" workbookViewId="0">
      <selection activeCell="S13" sqref="S13"/>
    </sheetView>
  </sheetViews>
  <sheetFormatPr defaultRowHeight="14.4" x14ac:dyDescent="0.3"/>
  <cols>
    <col min="1" max="1" width="12.88671875" bestFit="1" customWidth="1"/>
    <col min="3" max="3" width="10.33203125" customWidth="1"/>
    <col min="6" max="8" width="11" customWidth="1"/>
    <col min="9" max="9" width="12.44140625" customWidth="1"/>
    <col min="10" max="14" width="11" customWidth="1"/>
    <col min="15" max="16" width="12" customWidth="1"/>
    <col min="17" max="18" width="10.88671875" customWidth="1"/>
    <col min="20" max="20" width="10.33203125" customWidth="1"/>
  </cols>
  <sheetData>
    <row r="1" spans="1:19" x14ac:dyDescent="0.3">
      <c r="A1" s="1" t="s">
        <v>18</v>
      </c>
      <c r="B1" s="1" t="s">
        <v>19</v>
      </c>
      <c r="C1" s="1" t="s">
        <v>20</v>
      </c>
      <c r="D1" s="1" t="s">
        <v>21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s="3" t="s">
        <v>63</v>
      </c>
      <c r="Q1" s="3" t="s">
        <v>64</v>
      </c>
      <c r="R1" s="3" t="s">
        <v>65</v>
      </c>
      <c r="S1" s="13" t="s">
        <v>24</v>
      </c>
    </row>
    <row r="2" spans="1:19" x14ac:dyDescent="0.3">
      <c r="A2" s="1" t="s">
        <v>0</v>
      </c>
      <c r="B2" s="1">
        <v>795</v>
      </c>
      <c r="C2" s="1">
        <v>567</v>
      </c>
      <c r="D2" s="1">
        <v>820</v>
      </c>
      <c r="F2" s="1">
        <v>1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6">
        <v>1</v>
      </c>
      <c r="Q2" s="6">
        <v>0</v>
      </c>
      <c r="R2" s="6">
        <v>0</v>
      </c>
      <c r="S2" s="11">
        <v>795</v>
      </c>
    </row>
    <row r="3" spans="1:19" x14ac:dyDescent="0.3">
      <c r="A3" s="1" t="s">
        <v>1</v>
      </c>
      <c r="B3" s="1">
        <v>899</v>
      </c>
      <c r="C3" s="1">
        <v>632</v>
      </c>
      <c r="D3" s="1">
        <v>995</v>
      </c>
      <c r="F3" s="1">
        <v>0</v>
      </c>
      <c r="G3" s="1">
        <v>1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6">
        <v>1</v>
      </c>
      <c r="Q3" s="6">
        <v>0</v>
      </c>
      <c r="R3" s="6">
        <v>0</v>
      </c>
      <c r="S3" s="6">
        <v>899</v>
      </c>
    </row>
    <row r="4" spans="1:19" x14ac:dyDescent="0.3">
      <c r="A4" s="1" t="s">
        <v>2</v>
      </c>
      <c r="B4" s="1">
        <v>623</v>
      </c>
      <c r="C4" s="1">
        <v>505</v>
      </c>
      <c r="D4" s="1">
        <v>720</v>
      </c>
      <c r="F4" s="1">
        <v>0</v>
      </c>
      <c r="G4" s="1">
        <v>0</v>
      </c>
      <c r="H4" s="1">
        <v>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6">
        <v>1</v>
      </c>
      <c r="Q4" s="6">
        <v>0</v>
      </c>
      <c r="R4" s="6">
        <v>0</v>
      </c>
      <c r="S4" s="6">
        <v>623</v>
      </c>
    </row>
    <row r="5" spans="1:19" x14ac:dyDescent="0.3">
      <c r="A5" s="1" t="s">
        <v>3</v>
      </c>
      <c r="B5" s="1">
        <v>912</v>
      </c>
      <c r="C5" s="1">
        <v>750</v>
      </c>
      <c r="D5" s="1">
        <v>1010</v>
      </c>
      <c r="F5" s="1">
        <v>0</v>
      </c>
      <c r="G5" s="1">
        <v>0</v>
      </c>
      <c r="H5" s="1">
        <v>0</v>
      </c>
      <c r="I5" s="1">
        <v>1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6">
        <v>1</v>
      </c>
      <c r="Q5" s="6">
        <v>0</v>
      </c>
      <c r="R5" s="6">
        <v>0</v>
      </c>
      <c r="S5" s="6">
        <v>912</v>
      </c>
    </row>
    <row r="6" spans="1:19" x14ac:dyDescent="0.3">
      <c r="A6" s="1" t="s">
        <v>4</v>
      </c>
      <c r="B6" s="1">
        <v>376</v>
      </c>
      <c r="C6" s="1">
        <v>500</v>
      </c>
      <c r="D6" s="1">
        <v>721</v>
      </c>
      <c r="F6" s="1">
        <v>0</v>
      </c>
      <c r="G6" s="1">
        <v>0</v>
      </c>
      <c r="H6" s="1">
        <v>0</v>
      </c>
      <c r="I6" s="1">
        <v>0</v>
      </c>
      <c r="J6" s="1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6">
        <v>1</v>
      </c>
      <c r="Q6" s="6">
        <v>0</v>
      </c>
      <c r="R6" s="6">
        <v>0</v>
      </c>
      <c r="S6" s="6">
        <v>376</v>
      </c>
    </row>
    <row r="7" spans="1:19" x14ac:dyDescent="0.3">
      <c r="A7" s="1" t="s">
        <v>5</v>
      </c>
      <c r="B7" s="1">
        <v>435</v>
      </c>
      <c r="C7" s="1">
        <v>510</v>
      </c>
      <c r="D7" s="1">
        <v>712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6">
        <v>1</v>
      </c>
      <c r="Q7" s="6">
        <v>0</v>
      </c>
      <c r="R7" s="6">
        <v>0</v>
      </c>
      <c r="S7" s="6">
        <v>435</v>
      </c>
    </row>
    <row r="8" spans="1:19" x14ac:dyDescent="0.3">
      <c r="A8" s="1" t="s">
        <v>6</v>
      </c>
      <c r="B8" s="1">
        <v>455</v>
      </c>
      <c r="C8" s="1">
        <v>550</v>
      </c>
      <c r="D8" s="1">
        <v>760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0</v>
      </c>
      <c r="N8" s="1">
        <v>0</v>
      </c>
      <c r="O8" s="1">
        <v>0</v>
      </c>
      <c r="P8" s="6">
        <v>1</v>
      </c>
      <c r="Q8" s="6">
        <v>0</v>
      </c>
      <c r="R8" s="6">
        <v>0</v>
      </c>
      <c r="S8" s="6">
        <v>455</v>
      </c>
    </row>
    <row r="9" spans="1:19" x14ac:dyDescent="0.3">
      <c r="A9" s="1" t="s">
        <v>7</v>
      </c>
      <c r="B9" s="1">
        <v>510</v>
      </c>
      <c r="C9" s="1">
        <v>382</v>
      </c>
      <c r="D9" s="1">
        <v>622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6">
        <v>1</v>
      </c>
      <c r="Q9" s="6">
        <v>0</v>
      </c>
      <c r="R9" s="6">
        <v>0</v>
      </c>
      <c r="S9" s="6">
        <v>510</v>
      </c>
    </row>
    <row r="10" spans="1:19" x14ac:dyDescent="0.3">
      <c r="A10" s="1" t="s">
        <v>8</v>
      </c>
      <c r="B10" s="1">
        <v>632</v>
      </c>
      <c r="C10" s="1">
        <v>673</v>
      </c>
      <c r="D10" s="1">
        <v>810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0</v>
      </c>
      <c r="P10" s="6">
        <v>1</v>
      </c>
      <c r="Q10" s="6">
        <v>0</v>
      </c>
      <c r="R10" s="6">
        <v>0</v>
      </c>
      <c r="S10" s="6">
        <v>632</v>
      </c>
    </row>
    <row r="11" spans="1:19" x14ac:dyDescent="0.3">
      <c r="A11" s="1" t="s">
        <v>9</v>
      </c>
      <c r="B11" s="1">
        <v>1150</v>
      </c>
      <c r="C11" s="1">
        <v>986</v>
      </c>
      <c r="D11" s="1">
        <v>1376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1</v>
      </c>
      <c r="P11" s="6">
        <v>1</v>
      </c>
      <c r="Q11" s="6">
        <v>0</v>
      </c>
      <c r="R11" s="6">
        <v>0</v>
      </c>
      <c r="S11" s="12">
        <v>1150</v>
      </c>
    </row>
    <row r="12" spans="1:19" x14ac:dyDescent="0.3">
      <c r="F12" s="16">
        <v>1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6">
        <v>0</v>
      </c>
      <c r="Q12" s="6">
        <v>1</v>
      </c>
      <c r="R12" s="6">
        <v>0</v>
      </c>
      <c r="S12" s="6">
        <v>567</v>
      </c>
    </row>
    <row r="13" spans="1:19" x14ac:dyDescent="0.3">
      <c r="F13" s="16">
        <v>0</v>
      </c>
      <c r="G13" s="17">
        <v>1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6">
        <v>0</v>
      </c>
      <c r="Q13" s="6">
        <v>1</v>
      </c>
      <c r="R13" s="6">
        <v>0</v>
      </c>
      <c r="S13" s="6">
        <v>632</v>
      </c>
    </row>
    <row r="14" spans="1:19" x14ac:dyDescent="0.3">
      <c r="F14" s="16">
        <v>0</v>
      </c>
      <c r="G14" s="17">
        <v>0</v>
      </c>
      <c r="H14" s="17">
        <v>1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6">
        <v>0</v>
      </c>
      <c r="Q14" s="6">
        <v>1</v>
      </c>
      <c r="R14" s="6">
        <v>0</v>
      </c>
      <c r="S14" s="6">
        <v>505</v>
      </c>
    </row>
    <row r="15" spans="1:19" x14ac:dyDescent="0.3">
      <c r="E15" s="14"/>
      <c r="F15" s="16">
        <v>0</v>
      </c>
      <c r="G15" s="17">
        <v>0</v>
      </c>
      <c r="H15" s="17">
        <v>0</v>
      </c>
      <c r="I15" s="17">
        <v>1</v>
      </c>
      <c r="J15" s="17">
        <v>0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6">
        <v>0</v>
      </c>
      <c r="Q15" s="6">
        <v>1</v>
      </c>
      <c r="R15" s="6">
        <v>0</v>
      </c>
      <c r="S15" s="6">
        <v>750</v>
      </c>
    </row>
    <row r="16" spans="1:19" x14ac:dyDescent="0.3">
      <c r="F16" s="16">
        <v>0</v>
      </c>
      <c r="G16" s="17">
        <v>0</v>
      </c>
      <c r="H16" s="17">
        <v>0</v>
      </c>
      <c r="I16" s="17">
        <v>0</v>
      </c>
      <c r="J16" s="17">
        <v>1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6">
        <v>0</v>
      </c>
      <c r="Q16" s="6">
        <v>1</v>
      </c>
      <c r="R16" s="6">
        <v>0</v>
      </c>
      <c r="S16" s="6">
        <v>500</v>
      </c>
    </row>
    <row r="17" spans="5:22" x14ac:dyDescent="0.3">
      <c r="F17" s="16">
        <v>0</v>
      </c>
      <c r="G17" s="17">
        <v>0</v>
      </c>
      <c r="H17" s="17">
        <v>0</v>
      </c>
      <c r="I17" s="17">
        <v>0</v>
      </c>
      <c r="J17" s="17">
        <v>0</v>
      </c>
      <c r="K17" s="17">
        <v>1</v>
      </c>
      <c r="L17" s="17">
        <v>0</v>
      </c>
      <c r="M17" s="17">
        <v>0</v>
      </c>
      <c r="N17" s="17">
        <v>0</v>
      </c>
      <c r="O17" s="17">
        <v>0</v>
      </c>
      <c r="P17" s="6">
        <v>0</v>
      </c>
      <c r="Q17" s="6">
        <v>1</v>
      </c>
      <c r="R17" s="6">
        <v>0</v>
      </c>
      <c r="S17" s="6">
        <v>510</v>
      </c>
    </row>
    <row r="18" spans="5:22" x14ac:dyDescent="0.3">
      <c r="F18" s="16">
        <v>0</v>
      </c>
      <c r="G18" s="17">
        <v>0</v>
      </c>
      <c r="H18" s="17">
        <v>0</v>
      </c>
      <c r="I18" s="17">
        <v>0</v>
      </c>
      <c r="J18" s="17">
        <v>0</v>
      </c>
      <c r="K18" s="17">
        <v>0</v>
      </c>
      <c r="L18" s="17">
        <v>1</v>
      </c>
      <c r="M18" s="17">
        <v>0</v>
      </c>
      <c r="N18" s="17">
        <v>0</v>
      </c>
      <c r="O18" s="17">
        <v>0</v>
      </c>
      <c r="P18" s="6">
        <v>0</v>
      </c>
      <c r="Q18" s="6">
        <v>1</v>
      </c>
      <c r="R18" s="6">
        <v>0</v>
      </c>
      <c r="S18" s="6">
        <v>550</v>
      </c>
    </row>
    <row r="19" spans="5:22" x14ac:dyDescent="0.3">
      <c r="F19" s="16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1</v>
      </c>
      <c r="N19" s="17">
        <v>0</v>
      </c>
      <c r="O19" s="17">
        <v>0</v>
      </c>
      <c r="P19" s="6">
        <v>0</v>
      </c>
      <c r="Q19" s="6">
        <v>1</v>
      </c>
      <c r="R19" s="6">
        <v>0</v>
      </c>
      <c r="S19" s="6">
        <v>382</v>
      </c>
    </row>
    <row r="20" spans="5:22" x14ac:dyDescent="0.3">
      <c r="F20" s="16">
        <v>0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1</v>
      </c>
      <c r="O20" s="17">
        <v>0</v>
      </c>
      <c r="P20" s="6">
        <v>0</v>
      </c>
      <c r="Q20" s="6">
        <v>1</v>
      </c>
      <c r="R20" s="6">
        <v>0</v>
      </c>
      <c r="S20" s="6">
        <v>673</v>
      </c>
    </row>
    <row r="21" spans="5:22" x14ac:dyDescent="0.3">
      <c r="F21" s="18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1</v>
      </c>
      <c r="P21" s="6">
        <v>0</v>
      </c>
      <c r="Q21" s="6">
        <v>1</v>
      </c>
      <c r="R21" s="6">
        <v>0</v>
      </c>
      <c r="S21" s="6">
        <v>986</v>
      </c>
      <c r="T21" s="21" t="s">
        <v>66</v>
      </c>
      <c r="U21" s="21" t="s">
        <v>67</v>
      </c>
      <c r="V21" s="21" t="s">
        <v>11</v>
      </c>
    </row>
    <row r="22" spans="5:22" x14ac:dyDescent="0.3">
      <c r="F22" s="16">
        <v>1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6">
        <v>0</v>
      </c>
      <c r="Q22" s="6">
        <v>0</v>
      </c>
      <c r="R22" s="6">
        <v>1</v>
      </c>
      <c r="S22" s="6">
        <v>820</v>
      </c>
      <c r="T22">
        <f>$G$50+$G$51*F22+$G$52*G22+$G$53*H22+$G$54*I22+$G$55*J22+$G$56*K22+$G$57*L22+$G$58*M22+$G$59*N22+$G$60*O22+$G$61*P22+$G$62*Q22+$G$63*R22</f>
        <v>868.99999999999977</v>
      </c>
      <c r="U22">
        <f>(T22-S22)^2</f>
        <v>2400.9999999999777</v>
      </c>
      <c r="V22">
        <f>AVERAGE(U22:U26)</f>
        <v>1331.1999999999878</v>
      </c>
    </row>
    <row r="23" spans="5:22" x14ac:dyDescent="0.3">
      <c r="E23" s="15"/>
      <c r="F23" s="16">
        <v>0</v>
      </c>
      <c r="G23" s="17">
        <v>1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6">
        <v>0</v>
      </c>
      <c r="Q23" s="6">
        <v>0</v>
      </c>
      <c r="R23" s="6">
        <v>1</v>
      </c>
      <c r="S23" s="6">
        <v>995</v>
      </c>
      <c r="T23">
        <f t="shared" ref="T23:T31" si="0">$G$50+$G$51*F23+$G$52*G23+$G$53*H23+$G$54*I23+$G$55*J23+$G$56*K23+$G$57*L23+$G$58*M23+$G$59*N23+$G$60*O23+$G$61*P23+$G$62*Q23+$G$63*R23</f>
        <v>983.66666666666652</v>
      </c>
      <c r="U23">
        <f t="shared" ref="U23:U26" si="1">(T23-S23)^2</f>
        <v>128.44444444444787</v>
      </c>
    </row>
    <row r="24" spans="5:22" x14ac:dyDescent="0.3">
      <c r="F24" s="16">
        <v>0</v>
      </c>
      <c r="G24" s="17">
        <v>0</v>
      </c>
      <c r="H24" s="17">
        <v>1</v>
      </c>
      <c r="I24" s="17">
        <v>0</v>
      </c>
      <c r="J24" s="17">
        <v>0</v>
      </c>
      <c r="K24" s="17">
        <v>0</v>
      </c>
      <c r="L24" s="17">
        <v>0</v>
      </c>
      <c r="M24" s="17">
        <v>0</v>
      </c>
      <c r="N24" s="17">
        <v>0</v>
      </c>
      <c r="O24" s="17">
        <v>0</v>
      </c>
      <c r="P24" s="6">
        <v>0</v>
      </c>
      <c r="Q24" s="6">
        <v>0</v>
      </c>
      <c r="R24" s="6">
        <v>1</v>
      </c>
      <c r="S24" s="6">
        <v>720</v>
      </c>
      <c r="T24">
        <f t="shared" si="0"/>
        <v>757.66666666666629</v>
      </c>
      <c r="U24">
        <f t="shared" si="1"/>
        <v>1418.7777777777492</v>
      </c>
    </row>
    <row r="25" spans="5:22" x14ac:dyDescent="0.3">
      <c r="F25" s="16">
        <v>0</v>
      </c>
      <c r="G25" s="17">
        <v>0</v>
      </c>
      <c r="H25" s="17">
        <v>0</v>
      </c>
      <c r="I25" s="17">
        <v>1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6">
        <v>0</v>
      </c>
      <c r="Q25" s="6">
        <v>0</v>
      </c>
      <c r="R25" s="6">
        <v>1</v>
      </c>
      <c r="S25" s="6">
        <v>1010</v>
      </c>
      <c r="T25">
        <f t="shared" si="0"/>
        <v>1032.333333333333</v>
      </c>
      <c r="U25">
        <f t="shared" si="1"/>
        <v>498.77777777776424</v>
      </c>
    </row>
    <row r="26" spans="5:22" x14ac:dyDescent="0.3">
      <c r="F26" s="16">
        <v>0</v>
      </c>
      <c r="G26" s="17">
        <v>0</v>
      </c>
      <c r="H26" s="17">
        <v>0</v>
      </c>
      <c r="I26" s="17">
        <v>0</v>
      </c>
      <c r="J26" s="17">
        <v>1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6">
        <v>0</v>
      </c>
      <c r="Q26" s="6">
        <v>0</v>
      </c>
      <c r="R26" s="6">
        <v>1</v>
      </c>
      <c r="S26" s="6">
        <v>721</v>
      </c>
      <c r="T26">
        <f t="shared" si="0"/>
        <v>674</v>
      </c>
      <c r="U26">
        <f t="shared" si="1"/>
        <v>2209</v>
      </c>
    </row>
    <row r="27" spans="5:22" x14ac:dyDescent="0.3">
      <c r="F27" s="16">
        <v>0</v>
      </c>
      <c r="G27" s="17">
        <v>0</v>
      </c>
      <c r="H27" s="17">
        <v>0</v>
      </c>
      <c r="I27" s="17">
        <v>0</v>
      </c>
      <c r="J27" s="17">
        <v>0</v>
      </c>
      <c r="K27" s="17">
        <v>1</v>
      </c>
      <c r="L27" s="17">
        <v>0</v>
      </c>
      <c r="M27" s="17">
        <v>0</v>
      </c>
      <c r="N27" s="17">
        <v>0</v>
      </c>
      <c r="O27" s="17">
        <v>0</v>
      </c>
      <c r="P27" s="6">
        <v>0</v>
      </c>
      <c r="Q27" s="6">
        <v>0</v>
      </c>
      <c r="R27" s="6">
        <v>1</v>
      </c>
      <c r="S27" s="6">
        <v>712</v>
      </c>
      <c r="T27">
        <f t="shared" si="0"/>
        <v>693.99999999999977</v>
      </c>
    </row>
    <row r="28" spans="5:22" x14ac:dyDescent="0.3">
      <c r="E28" s="15"/>
      <c r="F28" s="16">
        <v>0</v>
      </c>
      <c r="G28" s="17">
        <v>0</v>
      </c>
      <c r="H28" s="17">
        <v>0</v>
      </c>
      <c r="I28" s="17">
        <v>0</v>
      </c>
      <c r="J28" s="17">
        <v>0</v>
      </c>
      <c r="K28" s="17">
        <v>0</v>
      </c>
      <c r="L28" s="17">
        <v>1</v>
      </c>
      <c r="M28" s="17">
        <v>0</v>
      </c>
      <c r="N28" s="17">
        <v>0</v>
      </c>
      <c r="O28" s="17">
        <v>0</v>
      </c>
      <c r="P28" s="6">
        <v>0</v>
      </c>
      <c r="Q28" s="6">
        <v>0</v>
      </c>
      <c r="R28" s="6">
        <v>1</v>
      </c>
      <c r="S28" s="6">
        <v>760</v>
      </c>
      <c r="T28">
        <f t="shared" si="0"/>
        <v>729.99999999999977</v>
      </c>
    </row>
    <row r="29" spans="5:22" x14ac:dyDescent="0.3">
      <c r="F29" s="16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1</v>
      </c>
      <c r="N29" s="17">
        <v>0</v>
      </c>
      <c r="O29" s="17">
        <v>0</v>
      </c>
      <c r="P29" s="6">
        <v>0</v>
      </c>
      <c r="Q29" s="6">
        <v>0</v>
      </c>
      <c r="R29" s="6">
        <v>1</v>
      </c>
      <c r="S29" s="6">
        <v>622</v>
      </c>
      <c r="T29">
        <f t="shared" si="0"/>
        <v>646.33333333333326</v>
      </c>
    </row>
    <row r="30" spans="5:22" x14ac:dyDescent="0.3">
      <c r="F30" s="16">
        <v>0</v>
      </c>
      <c r="G30" s="17">
        <v>0</v>
      </c>
      <c r="H30" s="17">
        <v>0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1</v>
      </c>
      <c r="O30" s="17">
        <v>0</v>
      </c>
      <c r="P30" s="6">
        <v>0</v>
      </c>
      <c r="Q30" s="6">
        <v>0</v>
      </c>
      <c r="R30" s="6">
        <v>1</v>
      </c>
      <c r="S30" s="6">
        <v>810</v>
      </c>
      <c r="T30">
        <f t="shared" si="0"/>
        <v>846.66666666666629</v>
      </c>
    </row>
    <row r="31" spans="5:22" x14ac:dyDescent="0.3">
      <c r="F31" s="18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1</v>
      </c>
      <c r="P31" s="6">
        <v>0</v>
      </c>
      <c r="Q31" s="6">
        <v>0</v>
      </c>
      <c r="R31" s="6">
        <v>1</v>
      </c>
      <c r="S31" s="6">
        <v>1376</v>
      </c>
      <c r="T31">
        <f t="shared" si="0"/>
        <v>1312.3333333333335</v>
      </c>
    </row>
    <row r="34" spans="6:11" x14ac:dyDescent="0.3">
      <c r="F34" t="s">
        <v>39</v>
      </c>
    </row>
    <row r="35" spans="6:11" ht="15" thickBot="1" x14ac:dyDescent="0.35"/>
    <row r="36" spans="6:11" x14ac:dyDescent="0.3">
      <c r="F36" s="10" t="s">
        <v>40</v>
      </c>
      <c r="G36" s="10"/>
    </row>
    <row r="37" spans="6:11" x14ac:dyDescent="0.3">
      <c r="F37" t="s">
        <v>41</v>
      </c>
      <c r="G37">
        <v>0.96385870000138418</v>
      </c>
    </row>
    <row r="38" spans="6:11" x14ac:dyDescent="0.3">
      <c r="F38" t="s">
        <v>42</v>
      </c>
      <c r="G38">
        <v>0.92902359356835829</v>
      </c>
    </row>
    <row r="39" spans="6:11" x14ac:dyDescent="0.3">
      <c r="F39" t="s">
        <v>43</v>
      </c>
      <c r="G39">
        <v>0.77453801186013271</v>
      </c>
    </row>
    <row r="40" spans="6:11" x14ac:dyDescent="0.3">
      <c r="F40" t="s">
        <v>44</v>
      </c>
      <c r="G40">
        <v>79.312252101004745</v>
      </c>
    </row>
    <row r="41" spans="6:11" ht="15" thickBot="1" x14ac:dyDescent="0.35">
      <c r="F41" s="8" t="s">
        <v>45</v>
      </c>
      <c r="G41" s="8">
        <v>30</v>
      </c>
    </row>
    <row r="43" spans="6:11" ht="15" thickBot="1" x14ac:dyDescent="0.35">
      <c r="F43" t="s">
        <v>46</v>
      </c>
    </row>
    <row r="44" spans="6:11" x14ac:dyDescent="0.3">
      <c r="F44" s="9"/>
      <c r="G44" s="9" t="s">
        <v>51</v>
      </c>
      <c r="H44" s="9" t="s">
        <v>52</v>
      </c>
      <c r="I44" s="9" t="s">
        <v>53</v>
      </c>
      <c r="J44" s="9" t="s">
        <v>54</v>
      </c>
      <c r="K44" s="9" t="s">
        <v>55</v>
      </c>
    </row>
    <row r="45" spans="6:11" x14ac:dyDescent="0.3">
      <c r="F45" t="s">
        <v>47</v>
      </c>
      <c r="G45">
        <v>13</v>
      </c>
      <c r="H45">
        <v>1482060.0666666667</v>
      </c>
      <c r="I45">
        <v>114004.62051282052</v>
      </c>
      <c r="J45">
        <v>21.418672799436187</v>
      </c>
      <c r="K45">
        <v>1.1523917611116809E-7</v>
      </c>
    </row>
    <row r="46" spans="6:11" x14ac:dyDescent="0.3">
      <c r="F46" t="s">
        <v>48</v>
      </c>
      <c r="G46">
        <v>18</v>
      </c>
      <c r="H46">
        <v>113227.79999999997</v>
      </c>
      <c r="I46">
        <v>6290.4333333333316</v>
      </c>
    </row>
    <row r="47" spans="6:11" ht="15" thickBot="1" x14ac:dyDescent="0.35">
      <c r="F47" s="8" t="s">
        <v>49</v>
      </c>
      <c r="G47" s="8">
        <v>31</v>
      </c>
      <c r="H47" s="8">
        <v>1595287.8666666667</v>
      </c>
      <c r="I47" s="8"/>
      <c r="J47" s="8"/>
      <c r="K47" s="8"/>
    </row>
    <row r="48" spans="6:11" ht="15" thickBot="1" x14ac:dyDescent="0.35"/>
    <row r="49" spans="6:14" x14ac:dyDescent="0.3">
      <c r="F49" s="9"/>
      <c r="G49" s="9" t="s">
        <v>56</v>
      </c>
      <c r="H49" s="9" t="s">
        <v>44</v>
      </c>
      <c r="I49" s="9" t="s">
        <v>57</v>
      </c>
      <c r="J49" s="9" t="s">
        <v>58</v>
      </c>
      <c r="K49" s="9" t="s">
        <v>59</v>
      </c>
      <c r="L49" s="9" t="s">
        <v>60</v>
      </c>
      <c r="M49" s="9" t="s">
        <v>61</v>
      </c>
      <c r="N49" s="9" t="s">
        <v>62</v>
      </c>
    </row>
    <row r="50" spans="6:14" x14ac:dyDescent="0.3">
      <c r="F50" t="s">
        <v>50</v>
      </c>
      <c r="G50">
        <v>693.0999999999998</v>
      </c>
      <c r="H50">
        <v>50.161472599329969</v>
      </c>
      <c r="I50">
        <v>13.817377442967212</v>
      </c>
      <c r="J50">
        <v>5.0518106085418136E-11</v>
      </c>
      <c r="K50">
        <v>587.71465664512061</v>
      </c>
      <c r="L50">
        <v>798.48534335487898</v>
      </c>
      <c r="M50">
        <v>587.71465664512061</v>
      </c>
      <c r="N50">
        <v>798.48534335487898</v>
      </c>
    </row>
    <row r="51" spans="6:14" x14ac:dyDescent="0.3">
      <c r="F51" t="s">
        <v>29</v>
      </c>
      <c r="G51">
        <v>0</v>
      </c>
      <c r="H51">
        <v>0</v>
      </c>
      <c r="I51">
        <v>65535</v>
      </c>
      <c r="J51" t="e">
        <v>#NUM!</v>
      </c>
      <c r="K51">
        <v>0</v>
      </c>
      <c r="L51">
        <v>0</v>
      </c>
      <c r="M51">
        <v>0</v>
      </c>
      <c r="N51">
        <v>0</v>
      </c>
    </row>
    <row r="52" spans="6:14" x14ac:dyDescent="0.3">
      <c r="F52" t="s">
        <v>30</v>
      </c>
      <c r="G52">
        <v>114.66666666666667</v>
      </c>
      <c r="H52">
        <v>64.758182666148215</v>
      </c>
      <c r="I52">
        <v>1.7706900031122659</v>
      </c>
      <c r="J52" t="e">
        <v>#NUM!</v>
      </c>
      <c r="K52">
        <v>-21.385226582599259</v>
      </c>
      <c r="L52">
        <v>250.71855991593259</v>
      </c>
      <c r="M52">
        <v>-21.385226582599259</v>
      </c>
      <c r="N52">
        <v>250.71855991593259</v>
      </c>
    </row>
    <row r="53" spans="6:14" x14ac:dyDescent="0.3">
      <c r="F53" t="s">
        <v>31</v>
      </c>
      <c r="G53">
        <v>-111.33333333333346</v>
      </c>
      <c r="H53">
        <v>64.758182666148272</v>
      </c>
      <c r="I53">
        <v>-1.7192164565101655</v>
      </c>
      <c r="J53">
        <v>0.1027242402375205</v>
      </c>
      <c r="K53">
        <v>-247.3852265825995</v>
      </c>
      <c r="L53">
        <v>24.718559915932588</v>
      </c>
      <c r="M53">
        <v>-247.3852265825995</v>
      </c>
      <c r="N53">
        <v>24.718559915932588</v>
      </c>
    </row>
    <row r="54" spans="6:14" x14ac:dyDescent="0.3">
      <c r="F54" t="s">
        <v>32</v>
      </c>
      <c r="G54">
        <v>163.33333333333326</v>
      </c>
      <c r="H54">
        <v>64.758182666148215</v>
      </c>
      <c r="I54">
        <v>2.5222037835029356</v>
      </c>
      <c r="J54">
        <v>2.1300526753503388E-2</v>
      </c>
      <c r="K54">
        <v>27.281440084067327</v>
      </c>
      <c r="L54">
        <v>299.38522658259922</v>
      </c>
      <c r="M54">
        <v>27.281440084067327</v>
      </c>
      <c r="N54">
        <v>299.38522658259922</v>
      </c>
    </row>
    <row r="55" spans="6:14" x14ac:dyDescent="0.3">
      <c r="F55" t="s">
        <v>33</v>
      </c>
      <c r="G55">
        <v>-194.99999999999989</v>
      </c>
      <c r="H55">
        <v>64.758182666148201</v>
      </c>
      <c r="I55">
        <v>-3.0112024762228931</v>
      </c>
      <c r="J55">
        <v>7.5003869314070265E-3</v>
      </c>
      <c r="K55">
        <v>-331.05189324926573</v>
      </c>
      <c r="L55">
        <v>-58.948106750734013</v>
      </c>
      <c r="M55">
        <v>-331.05189324926573</v>
      </c>
      <c r="N55">
        <v>-58.948106750734013</v>
      </c>
    </row>
    <row r="56" spans="6:14" x14ac:dyDescent="0.3">
      <c r="F56" t="s">
        <v>34</v>
      </c>
      <c r="G56">
        <v>-175.00000000000003</v>
      </c>
      <c r="H56">
        <v>64.758182666148201</v>
      </c>
      <c r="I56">
        <v>-2.7023611966102905</v>
      </c>
      <c r="J56">
        <v>1.4578368526751394E-2</v>
      </c>
      <c r="K56">
        <v>-311.0518932492659</v>
      </c>
      <c r="L56">
        <v>-38.948106750734155</v>
      </c>
      <c r="M56">
        <v>-311.0518932492659</v>
      </c>
      <c r="N56">
        <v>-38.948106750734155</v>
      </c>
    </row>
    <row r="57" spans="6:14" x14ac:dyDescent="0.3">
      <c r="F57" t="s">
        <v>35</v>
      </c>
      <c r="G57">
        <v>-139.00000000000006</v>
      </c>
      <c r="H57">
        <v>64.758182666148215</v>
      </c>
      <c r="I57">
        <v>-2.1464468933076022</v>
      </c>
      <c r="J57">
        <v>4.5716720554670826E-2</v>
      </c>
      <c r="K57">
        <v>-275.05189324926596</v>
      </c>
      <c r="L57">
        <v>-2.9481067507341265</v>
      </c>
      <c r="M57">
        <v>-275.05189324926596</v>
      </c>
      <c r="N57">
        <v>-2.9481067507341265</v>
      </c>
    </row>
    <row r="58" spans="6:14" x14ac:dyDescent="0.3">
      <c r="F58" t="s">
        <v>36</v>
      </c>
      <c r="G58">
        <v>-222.66666666666652</v>
      </c>
      <c r="H58">
        <v>64.75818266614823</v>
      </c>
      <c r="I58">
        <v>-3.4384329130203271</v>
      </c>
      <c r="J58">
        <v>2.9309622259472679E-3</v>
      </c>
      <c r="K58">
        <v>-358.71855991593247</v>
      </c>
      <c r="L58">
        <v>-86.614773417400556</v>
      </c>
      <c r="M58">
        <v>-358.71855991593247</v>
      </c>
      <c r="N58">
        <v>-86.614773417400556</v>
      </c>
    </row>
    <row r="59" spans="6:14" x14ac:dyDescent="0.3">
      <c r="F59" t="s">
        <v>37</v>
      </c>
      <c r="G59">
        <v>-22.333333333333464</v>
      </c>
      <c r="H59">
        <v>64.758182666148244</v>
      </c>
      <c r="I59">
        <v>-0.34487276223407692</v>
      </c>
      <c r="J59">
        <v>0.73418699457253145</v>
      </c>
      <c r="K59">
        <v>-158.38522658259944</v>
      </c>
      <c r="L59">
        <v>113.71855991593253</v>
      </c>
      <c r="M59">
        <v>-158.38522658259944</v>
      </c>
      <c r="N59">
        <v>113.71855991593253</v>
      </c>
    </row>
    <row r="60" spans="6:14" x14ac:dyDescent="0.3">
      <c r="F60" t="s">
        <v>38</v>
      </c>
      <c r="G60">
        <v>443.33333333333348</v>
      </c>
      <c r="H60">
        <v>64.758182666148258</v>
      </c>
      <c r="I60">
        <v>6.8459816980793979</v>
      </c>
      <c r="J60">
        <v>2.0895598757488954E-6</v>
      </c>
      <c r="K60">
        <v>307.28144008406747</v>
      </c>
      <c r="L60">
        <v>579.38522658259944</v>
      </c>
      <c r="M60">
        <v>307.28144008406747</v>
      </c>
      <c r="N60">
        <v>579.38522658259944</v>
      </c>
    </row>
    <row r="61" spans="6:14" x14ac:dyDescent="0.3">
      <c r="F61" t="s">
        <v>63</v>
      </c>
      <c r="G61">
        <v>0</v>
      </c>
      <c r="H61">
        <v>0</v>
      </c>
      <c r="I61">
        <v>65535</v>
      </c>
      <c r="J61" t="e">
        <v>#NUM!</v>
      </c>
      <c r="K61">
        <v>0</v>
      </c>
      <c r="L61">
        <v>0</v>
      </c>
      <c r="M61">
        <v>0</v>
      </c>
      <c r="N61">
        <v>0</v>
      </c>
    </row>
    <row r="62" spans="6:14" x14ac:dyDescent="0.3">
      <c r="F62" t="s">
        <v>64</v>
      </c>
      <c r="G62">
        <v>-73.199999999999903</v>
      </c>
      <c r="H62">
        <v>35.469517429289411</v>
      </c>
      <c r="I62">
        <v>-2.063743893497521</v>
      </c>
      <c r="J62" t="e">
        <v>#NUM!</v>
      </c>
      <c r="K62">
        <v>-147.71869092390767</v>
      </c>
      <c r="L62">
        <v>1.3186909239078517</v>
      </c>
      <c r="M62">
        <v>-147.71869092390767</v>
      </c>
      <c r="N62">
        <v>1.3186909239078517</v>
      </c>
    </row>
    <row r="63" spans="6:14" ht="15" thickBot="1" x14ac:dyDescent="0.35">
      <c r="F63" s="8" t="s">
        <v>65</v>
      </c>
      <c r="G63" s="8">
        <v>175.90000000000003</v>
      </c>
      <c r="H63" s="8">
        <v>35.469517429289418</v>
      </c>
      <c r="I63" s="8">
        <v>4.9591878533635843</v>
      </c>
      <c r="J63" s="8">
        <v>1.0142314792464287E-4</v>
      </c>
      <c r="K63" s="8">
        <v>101.38130907609226</v>
      </c>
      <c r="L63" s="8">
        <v>250.4186909239078</v>
      </c>
      <c r="M63" s="8">
        <v>101.38130907609226</v>
      </c>
      <c r="N63" s="8">
        <v>250.4186909239078</v>
      </c>
    </row>
  </sheetData>
  <phoneticPr fontId="1" type="noConversion"/>
  <pageMargins left="0.7" right="0.7" top="0.75" bottom="0.75" header="0.3" footer="0.3"/>
  <pageSetup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26BB3-B436-472B-AFB6-2FD8C0A6A71E}">
  <sheetPr codeName="Sheet2"/>
  <dimension ref="A1:V63"/>
  <sheetViews>
    <sheetView topLeftCell="A10" workbookViewId="0">
      <selection activeCell="W32" sqref="W32"/>
    </sheetView>
  </sheetViews>
  <sheetFormatPr defaultRowHeight="14.4" x14ac:dyDescent="0.3"/>
  <cols>
    <col min="1" max="1" width="10.5546875" customWidth="1"/>
    <col min="20" max="20" width="10.5546875" customWidth="1"/>
  </cols>
  <sheetData>
    <row r="1" spans="1:19" x14ac:dyDescent="0.3">
      <c r="A1" s="1" t="s">
        <v>18</v>
      </c>
      <c r="B1" s="1" t="s">
        <v>19</v>
      </c>
      <c r="C1" s="1" t="s">
        <v>20</v>
      </c>
      <c r="D1" s="1" t="s">
        <v>21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s="3" t="s">
        <v>63</v>
      </c>
      <c r="Q1" s="3" t="s">
        <v>64</v>
      </c>
      <c r="R1" s="3" t="s">
        <v>65</v>
      </c>
      <c r="S1" s="20" t="s">
        <v>24</v>
      </c>
    </row>
    <row r="2" spans="1:19" x14ac:dyDescent="0.3">
      <c r="A2" s="1" t="s">
        <v>0</v>
      </c>
      <c r="B2" s="1">
        <v>656</v>
      </c>
      <c r="C2" s="1">
        <v>820</v>
      </c>
      <c r="D2" s="1">
        <v>775</v>
      </c>
      <c r="F2" s="1">
        <v>1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6">
        <v>1</v>
      </c>
      <c r="Q2" s="6">
        <v>0</v>
      </c>
      <c r="R2" s="6">
        <v>0</v>
      </c>
      <c r="S2" s="4">
        <v>656</v>
      </c>
    </row>
    <row r="3" spans="1:19" x14ac:dyDescent="0.3">
      <c r="A3" s="1" t="s">
        <v>1</v>
      </c>
      <c r="B3" s="1">
        <v>710</v>
      </c>
      <c r="C3" s="1">
        <v>870</v>
      </c>
      <c r="D3" s="1">
        <v>801</v>
      </c>
      <c r="F3" s="1">
        <v>0</v>
      </c>
      <c r="G3" s="1">
        <v>1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6">
        <v>1</v>
      </c>
      <c r="Q3" s="6">
        <v>0</v>
      </c>
      <c r="R3" s="6">
        <v>0</v>
      </c>
      <c r="S3" s="6">
        <v>710</v>
      </c>
    </row>
    <row r="4" spans="1:19" x14ac:dyDescent="0.3">
      <c r="A4" s="1" t="s">
        <v>2</v>
      </c>
      <c r="B4" s="1">
        <v>895</v>
      </c>
      <c r="C4" s="1">
        <v>1150</v>
      </c>
      <c r="D4" s="1">
        <v>895</v>
      </c>
      <c r="F4" s="1">
        <v>0</v>
      </c>
      <c r="G4" s="1">
        <v>0</v>
      </c>
      <c r="H4" s="1">
        <v>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6">
        <v>1</v>
      </c>
      <c r="Q4" s="6">
        <v>0</v>
      </c>
      <c r="R4" s="6">
        <v>0</v>
      </c>
      <c r="S4" s="4">
        <v>895</v>
      </c>
    </row>
    <row r="5" spans="1:19" x14ac:dyDescent="0.3">
      <c r="A5" s="1" t="s">
        <v>3</v>
      </c>
      <c r="B5" s="1">
        <v>760</v>
      </c>
      <c r="C5" s="1">
        <v>920</v>
      </c>
      <c r="D5" s="1">
        <v>900</v>
      </c>
      <c r="F5" s="1">
        <v>0</v>
      </c>
      <c r="G5" s="1">
        <v>0</v>
      </c>
      <c r="H5" s="1">
        <v>0</v>
      </c>
      <c r="I5" s="1">
        <v>1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6">
        <v>1</v>
      </c>
      <c r="Q5" s="6">
        <v>0</v>
      </c>
      <c r="R5" s="6">
        <v>0</v>
      </c>
      <c r="S5" s="6">
        <v>760</v>
      </c>
    </row>
    <row r="6" spans="1:19" x14ac:dyDescent="0.3">
      <c r="A6" s="1" t="s">
        <v>4</v>
      </c>
      <c r="B6" s="1">
        <v>843</v>
      </c>
      <c r="C6" s="1">
        <v>865</v>
      </c>
      <c r="D6" s="1">
        <v>833</v>
      </c>
      <c r="F6" s="1">
        <v>0</v>
      </c>
      <c r="G6" s="1">
        <v>0</v>
      </c>
      <c r="H6" s="1">
        <v>0</v>
      </c>
      <c r="I6" s="1">
        <v>0</v>
      </c>
      <c r="J6" s="1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6">
        <v>1</v>
      </c>
      <c r="Q6" s="6">
        <v>0</v>
      </c>
      <c r="R6" s="6">
        <v>0</v>
      </c>
      <c r="S6" s="4">
        <v>843</v>
      </c>
    </row>
    <row r="7" spans="1:19" x14ac:dyDescent="0.3">
      <c r="A7" s="1" t="s">
        <v>5</v>
      </c>
      <c r="B7" s="1">
        <v>812</v>
      </c>
      <c r="C7" s="1">
        <v>754</v>
      </c>
      <c r="D7" s="1">
        <v>700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6">
        <v>1</v>
      </c>
      <c r="Q7" s="6">
        <v>0</v>
      </c>
      <c r="R7" s="6">
        <v>0</v>
      </c>
      <c r="S7" s="6">
        <v>812</v>
      </c>
    </row>
    <row r="8" spans="1:19" x14ac:dyDescent="0.3">
      <c r="A8" s="1" t="s">
        <v>6</v>
      </c>
      <c r="B8" s="1">
        <v>674</v>
      </c>
      <c r="C8" s="1">
        <v>622</v>
      </c>
      <c r="D8" s="1">
        <v>596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0</v>
      </c>
      <c r="N8" s="1">
        <v>0</v>
      </c>
      <c r="O8" s="1">
        <v>0</v>
      </c>
      <c r="P8" s="6">
        <v>1</v>
      </c>
      <c r="Q8" s="6">
        <v>0</v>
      </c>
      <c r="R8" s="6">
        <v>0</v>
      </c>
      <c r="S8" s="4">
        <v>674</v>
      </c>
    </row>
    <row r="9" spans="1:19" x14ac:dyDescent="0.3">
      <c r="A9" s="1" t="s">
        <v>7</v>
      </c>
      <c r="B9" s="1">
        <v>732</v>
      </c>
      <c r="C9" s="1">
        <v>789</v>
      </c>
      <c r="D9" s="1">
        <v>700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6">
        <v>1</v>
      </c>
      <c r="Q9" s="6">
        <v>0</v>
      </c>
      <c r="R9" s="6">
        <v>0</v>
      </c>
      <c r="S9" s="6">
        <v>732</v>
      </c>
    </row>
    <row r="10" spans="1:19" x14ac:dyDescent="0.3">
      <c r="A10" s="1" t="s">
        <v>8</v>
      </c>
      <c r="B10" s="1">
        <v>912</v>
      </c>
      <c r="C10" s="1">
        <v>950</v>
      </c>
      <c r="D10" s="1">
        <v>875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0</v>
      </c>
      <c r="P10" s="6">
        <v>1</v>
      </c>
      <c r="Q10" s="6">
        <v>0</v>
      </c>
      <c r="R10" s="6">
        <v>0</v>
      </c>
      <c r="S10" s="4">
        <v>912</v>
      </c>
    </row>
    <row r="11" spans="1:19" x14ac:dyDescent="0.3">
      <c r="A11" s="1" t="s">
        <v>9</v>
      </c>
      <c r="B11" s="1">
        <v>1150</v>
      </c>
      <c r="C11" s="1">
        <v>1300</v>
      </c>
      <c r="D11" s="1">
        <v>1010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1</v>
      </c>
      <c r="P11" s="6">
        <v>1</v>
      </c>
      <c r="Q11" s="6">
        <v>0</v>
      </c>
      <c r="R11" s="6">
        <v>0</v>
      </c>
      <c r="S11" s="6">
        <v>1150</v>
      </c>
    </row>
    <row r="12" spans="1:19" x14ac:dyDescent="0.3">
      <c r="F12" s="16">
        <v>1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6">
        <v>0</v>
      </c>
      <c r="Q12" s="6">
        <v>1</v>
      </c>
      <c r="R12" s="6">
        <v>0</v>
      </c>
      <c r="S12" s="4">
        <v>820</v>
      </c>
    </row>
    <row r="13" spans="1:19" x14ac:dyDescent="0.3">
      <c r="F13" s="16">
        <v>0</v>
      </c>
      <c r="G13" s="17">
        <v>1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6">
        <v>0</v>
      </c>
      <c r="Q13" s="6">
        <v>1</v>
      </c>
      <c r="R13" s="6">
        <v>0</v>
      </c>
      <c r="S13" s="6">
        <v>870</v>
      </c>
    </row>
    <row r="14" spans="1:19" x14ac:dyDescent="0.3">
      <c r="F14" s="16">
        <v>0</v>
      </c>
      <c r="G14" s="17">
        <v>0</v>
      </c>
      <c r="H14" s="17">
        <v>1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6">
        <v>0</v>
      </c>
      <c r="Q14" s="6">
        <v>1</v>
      </c>
      <c r="R14" s="6">
        <v>0</v>
      </c>
      <c r="S14" s="4">
        <v>1150</v>
      </c>
    </row>
    <row r="15" spans="1:19" x14ac:dyDescent="0.3">
      <c r="F15" s="16">
        <v>0</v>
      </c>
      <c r="G15" s="17">
        <v>0</v>
      </c>
      <c r="H15" s="17">
        <v>0</v>
      </c>
      <c r="I15" s="17">
        <v>1</v>
      </c>
      <c r="J15" s="17">
        <v>0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6">
        <v>0</v>
      </c>
      <c r="Q15" s="6">
        <v>1</v>
      </c>
      <c r="R15" s="6">
        <v>0</v>
      </c>
      <c r="S15" s="6">
        <v>920</v>
      </c>
    </row>
    <row r="16" spans="1:19" x14ac:dyDescent="0.3">
      <c r="F16" s="16">
        <v>0</v>
      </c>
      <c r="G16" s="17">
        <v>0</v>
      </c>
      <c r="H16" s="17">
        <v>0</v>
      </c>
      <c r="I16" s="17">
        <v>0</v>
      </c>
      <c r="J16" s="17">
        <v>1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6">
        <v>0</v>
      </c>
      <c r="Q16" s="6">
        <v>1</v>
      </c>
      <c r="R16" s="6">
        <v>0</v>
      </c>
      <c r="S16" s="4">
        <v>865</v>
      </c>
    </row>
    <row r="17" spans="6:22" x14ac:dyDescent="0.3">
      <c r="F17" s="16">
        <v>0</v>
      </c>
      <c r="G17" s="17">
        <v>0</v>
      </c>
      <c r="H17" s="17">
        <v>0</v>
      </c>
      <c r="I17" s="17">
        <v>0</v>
      </c>
      <c r="J17" s="17">
        <v>0</v>
      </c>
      <c r="K17" s="17">
        <v>1</v>
      </c>
      <c r="L17" s="17">
        <v>0</v>
      </c>
      <c r="M17" s="17">
        <v>0</v>
      </c>
      <c r="N17" s="17">
        <v>0</v>
      </c>
      <c r="O17" s="17">
        <v>0</v>
      </c>
      <c r="P17" s="6">
        <v>0</v>
      </c>
      <c r="Q17" s="6">
        <v>1</v>
      </c>
      <c r="R17" s="6">
        <v>0</v>
      </c>
      <c r="S17" s="6">
        <v>754</v>
      </c>
    </row>
    <row r="18" spans="6:22" x14ac:dyDescent="0.3">
      <c r="F18" s="16">
        <v>0</v>
      </c>
      <c r="G18" s="17">
        <v>0</v>
      </c>
      <c r="H18" s="17">
        <v>0</v>
      </c>
      <c r="I18" s="17">
        <v>0</v>
      </c>
      <c r="J18" s="17">
        <v>0</v>
      </c>
      <c r="K18" s="17">
        <v>0</v>
      </c>
      <c r="L18" s="17">
        <v>1</v>
      </c>
      <c r="M18" s="17">
        <v>0</v>
      </c>
      <c r="N18" s="17">
        <v>0</v>
      </c>
      <c r="O18" s="17">
        <v>0</v>
      </c>
      <c r="P18" s="6">
        <v>0</v>
      </c>
      <c r="Q18" s="6">
        <v>1</v>
      </c>
      <c r="R18" s="6">
        <v>0</v>
      </c>
      <c r="S18" s="4">
        <v>622</v>
      </c>
    </row>
    <row r="19" spans="6:22" x14ac:dyDescent="0.3">
      <c r="F19" s="16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1</v>
      </c>
      <c r="N19" s="17">
        <v>0</v>
      </c>
      <c r="O19" s="17">
        <v>0</v>
      </c>
      <c r="P19" s="6">
        <v>0</v>
      </c>
      <c r="Q19" s="6">
        <v>1</v>
      </c>
      <c r="R19" s="6">
        <v>0</v>
      </c>
      <c r="S19" s="6">
        <v>789</v>
      </c>
    </row>
    <row r="20" spans="6:22" x14ac:dyDescent="0.3">
      <c r="F20" s="16">
        <v>0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1</v>
      </c>
      <c r="O20" s="17">
        <v>0</v>
      </c>
      <c r="P20" s="6">
        <v>0</v>
      </c>
      <c r="Q20" s="6">
        <v>1</v>
      </c>
      <c r="R20" s="6">
        <v>0</v>
      </c>
      <c r="S20" s="4">
        <v>950</v>
      </c>
    </row>
    <row r="21" spans="6:22" x14ac:dyDescent="0.3">
      <c r="F21" s="18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1</v>
      </c>
      <c r="P21" s="6">
        <v>0</v>
      </c>
      <c r="Q21" s="6">
        <v>1</v>
      </c>
      <c r="R21" s="6">
        <v>0</v>
      </c>
      <c r="S21" s="6">
        <v>1300</v>
      </c>
      <c r="T21" s="21" t="s">
        <v>66</v>
      </c>
      <c r="U21" s="21" t="s">
        <v>67</v>
      </c>
      <c r="V21" s="21" t="s">
        <v>11</v>
      </c>
    </row>
    <row r="22" spans="6:22" x14ac:dyDescent="0.3">
      <c r="F22" s="16">
        <v>1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6">
        <v>0</v>
      </c>
      <c r="Q22" s="6">
        <v>0</v>
      </c>
      <c r="R22" s="6">
        <v>1</v>
      </c>
      <c r="S22" s="5">
        <v>775</v>
      </c>
      <c r="T22">
        <f>$G$50+$G$51*F22+$G$52*G22+$G$53*H22+$G$54*I22+$G$55*J22+$G$56*K22+$G$57*L22+$G$58*M22+$G$59*N22+$G$60*O22+$G$61*P22+$G$62*Q22+$G$63*R22</f>
        <v>716.53333333333319</v>
      </c>
      <c r="U22">
        <f>(T22-S22)^2</f>
        <v>3418.3511111111279</v>
      </c>
      <c r="V22">
        <f>AVERAGE(U22:U26)</f>
        <v>2714.0444444444593</v>
      </c>
    </row>
    <row r="23" spans="6:22" x14ac:dyDescent="0.3">
      <c r="F23" s="16">
        <v>0</v>
      </c>
      <c r="G23" s="17">
        <v>1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6">
        <v>0</v>
      </c>
      <c r="Q23" s="6">
        <v>0</v>
      </c>
      <c r="R23" s="6">
        <v>1</v>
      </c>
      <c r="S23" s="7">
        <v>801</v>
      </c>
      <c r="T23">
        <f t="shared" ref="T23:T31" si="0">$G$50+$G$51*F23+$G$52*G23+$G$53*H23+$G$54*I23+$G$55*J23+$G$56*K23+$G$57*L23+$G$58*M23+$G$59*N23+$G$60*O23+$G$61*P23+$G$62*Q23+$G$63*R23</f>
        <v>759.86666666666656</v>
      </c>
      <c r="U23">
        <f t="shared" ref="U23:U26" si="1">(T23-S23)^2</f>
        <v>1691.9511111111199</v>
      </c>
    </row>
    <row r="24" spans="6:22" x14ac:dyDescent="0.3">
      <c r="F24" s="16">
        <v>0</v>
      </c>
      <c r="G24" s="17">
        <v>0</v>
      </c>
      <c r="H24" s="17">
        <v>1</v>
      </c>
      <c r="I24" s="17">
        <v>0</v>
      </c>
      <c r="J24" s="17">
        <v>0</v>
      </c>
      <c r="K24" s="17">
        <v>0</v>
      </c>
      <c r="L24" s="17">
        <v>0</v>
      </c>
      <c r="M24" s="17">
        <v>0</v>
      </c>
      <c r="N24" s="17">
        <v>0</v>
      </c>
      <c r="O24" s="17">
        <v>0</v>
      </c>
      <c r="P24" s="6">
        <v>0</v>
      </c>
      <c r="Q24" s="6">
        <v>0</v>
      </c>
      <c r="R24" s="6">
        <v>1</v>
      </c>
      <c r="S24" s="5">
        <v>895</v>
      </c>
      <c r="T24">
        <f t="shared" si="0"/>
        <v>946.20000000000016</v>
      </c>
      <c r="U24">
        <f t="shared" si="1"/>
        <v>2621.4400000000164</v>
      </c>
    </row>
    <row r="25" spans="6:22" x14ac:dyDescent="0.3">
      <c r="F25" s="16">
        <v>0</v>
      </c>
      <c r="G25" s="17">
        <v>0</v>
      </c>
      <c r="H25" s="17">
        <v>0</v>
      </c>
      <c r="I25" s="17">
        <v>1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6">
        <v>0</v>
      </c>
      <c r="Q25" s="6">
        <v>0</v>
      </c>
      <c r="R25" s="6">
        <v>1</v>
      </c>
      <c r="S25" s="7">
        <v>900</v>
      </c>
      <c r="T25">
        <f t="shared" si="0"/>
        <v>826.19999999999982</v>
      </c>
      <c r="U25">
        <f t="shared" si="1"/>
        <v>5446.4400000000269</v>
      </c>
    </row>
    <row r="26" spans="6:22" x14ac:dyDescent="0.3">
      <c r="F26" s="16">
        <v>0</v>
      </c>
      <c r="G26" s="17">
        <v>0</v>
      </c>
      <c r="H26" s="17">
        <v>0</v>
      </c>
      <c r="I26" s="17">
        <v>0</v>
      </c>
      <c r="J26" s="17">
        <v>1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6">
        <v>0</v>
      </c>
      <c r="Q26" s="6">
        <v>0</v>
      </c>
      <c r="R26" s="6">
        <v>1</v>
      </c>
      <c r="S26" s="5">
        <v>833</v>
      </c>
      <c r="T26">
        <f t="shared" si="0"/>
        <v>813.19999999999982</v>
      </c>
      <c r="U26">
        <f t="shared" si="1"/>
        <v>392.04000000000718</v>
      </c>
    </row>
    <row r="27" spans="6:22" x14ac:dyDescent="0.3">
      <c r="F27" s="16">
        <v>0</v>
      </c>
      <c r="G27" s="17">
        <v>0</v>
      </c>
      <c r="H27" s="17">
        <v>0</v>
      </c>
      <c r="I27" s="17">
        <v>0</v>
      </c>
      <c r="J27" s="17">
        <v>0</v>
      </c>
      <c r="K27" s="17">
        <v>1</v>
      </c>
      <c r="L27" s="17">
        <v>0</v>
      </c>
      <c r="M27" s="17">
        <v>0</v>
      </c>
      <c r="N27" s="17">
        <v>0</v>
      </c>
      <c r="O27" s="17">
        <v>0</v>
      </c>
      <c r="P27" s="6">
        <v>0</v>
      </c>
      <c r="Q27" s="6">
        <v>0</v>
      </c>
      <c r="R27" s="6">
        <v>1</v>
      </c>
      <c r="S27" s="7">
        <v>700</v>
      </c>
      <c r="T27">
        <f t="shared" si="0"/>
        <v>721.53333333333319</v>
      </c>
    </row>
    <row r="28" spans="6:22" x14ac:dyDescent="0.3">
      <c r="F28" s="16">
        <v>0</v>
      </c>
      <c r="G28" s="17">
        <v>0</v>
      </c>
      <c r="H28" s="17">
        <v>0</v>
      </c>
      <c r="I28" s="17">
        <v>0</v>
      </c>
      <c r="J28" s="17">
        <v>0</v>
      </c>
      <c r="K28" s="17">
        <v>0</v>
      </c>
      <c r="L28" s="17">
        <v>1</v>
      </c>
      <c r="M28" s="17">
        <v>0</v>
      </c>
      <c r="N28" s="17">
        <v>0</v>
      </c>
      <c r="O28" s="17">
        <v>0</v>
      </c>
      <c r="P28" s="6">
        <v>0</v>
      </c>
      <c r="Q28" s="6">
        <v>0</v>
      </c>
      <c r="R28" s="6">
        <v>1</v>
      </c>
      <c r="S28" s="5">
        <v>596</v>
      </c>
      <c r="T28">
        <f t="shared" si="0"/>
        <v>596.86666666666656</v>
      </c>
    </row>
    <row r="29" spans="6:22" x14ac:dyDescent="0.3">
      <c r="F29" s="16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1</v>
      </c>
      <c r="N29" s="17">
        <v>0</v>
      </c>
      <c r="O29" s="17">
        <v>0</v>
      </c>
      <c r="P29" s="6">
        <v>0</v>
      </c>
      <c r="Q29" s="6">
        <v>0</v>
      </c>
      <c r="R29" s="6">
        <v>1</v>
      </c>
      <c r="S29" s="7">
        <v>700</v>
      </c>
      <c r="T29">
        <f t="shared" si="0"/>
        <v>706.5333333333333</v>
      </c>
    </row>
    <row r="30" spans="6:22" x14ac:dyDescent="0.3">
      <c r="F30" s="16">
        <v>0</v>
      </c>
      <c r="G30" s="17">
        <v>0</v>
      </c>
      <c r="H30" s="17">
        <v>0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1</v>
      </c>
      <c r="O30" s="17">
        <v>0</v>
      </c>
      <c r="P30" s="6">
        <v>0</v>
      </c>
      <c r="Q30" s="6">
        <v>0</v>
      </c>
      <c r="R30" s="6">
        <v>1</v>
      </c>
      <c r="S30" s="5">
        <v>875</v>
      </c>
      <c r="T30">
        <f t="shared" si="0"/>
        <v>878.5333333333333</v>
      </c>
    </row>
    <row r="31" spans="6:22" x14ac:dyDescent="0.3">
      <c r="F31" s="18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1</v>
      </c>
      <c r="P31" s="6">
        <v>0</v>
      </c>
      <c r="Q31" s="6">
        <v>0</v>
      </c>
      <c r="R31" s="6">
        <v>1</v>
      </c>
      <c r="S31" s="7">
        <v>1010</v>
      </c>
      <c r="T31">
        <f t="shared" si="0"/>
        <v>1119.5333333333333</v>
      </c>
    </row>
    <row r="34" spans="6:11" x14ac:dyDescent="0.3">
      <c r="F34" t="s">
        <v>39</v>
      </c>
    </row>
    <row r="35" spans="6:11" ht="15" thickBot="1" x14ac:dyDescent="0.35"/>
    <row r="36" spans="6:11" x14ac:dyDescent="0.3">
      <c r="F36" s="10" t="s">
        <v>40</v>
      </c>
      <c r="G36" s="10"/>
    </row>
    <row r="37" spans="6:11" x14ac:dyDescent="0.3">
      <c r="F37" t="s">
        <v>41</v>
      </c>
      <c r="G37">
        <v>0.93805847888086802</v>
      </c>
    </row>
    <row r="38" spans="6:11" x14ac:dyDescent="0.3">
      <c r="F38" t="s">
        <v>42</v>
      </c>
      <c r="G38">
        <v>0.87995370980028786</v>
      </c>
    </row>
    <row r="39" spans="6:11" x14ac:dyDescent="0.3">
      <c r="F39" t="s">
        <v>43</v>
      </c>
      <c r="G39">
        <v>0.69548097690046384</v>
      </c>
    </row>
    <row r="40" spans="6:11" x14ac:dyDescent="0.3">
      <c r="F40" t="s">
        <v>44</v>
      </c>
      <c r="G40">
        <v>69.691090880744184</v>
      </c>
    </row>
    <row r="41" spans="6:11" ht="15" thickBot="1" x14ac:dyDescent="0.35">
      <c r="F41" s="8" t="s">
        <v>45</v>
      </c>
      <c r="G41" s="8">
        <v>30</v>
      </c>
    </row>
    <row r="43" spans="6:11" ht="15" thickBot="1" x14ac:dyDescent="0.35">
      <c r="F43" t="s">
        <v>46</v>
      </c>
    </row>
    <row r="44" spans="6:11" x14ac:dyDescent="0.3">
      <c r="F44" s="9"/>
      <c r="G44" s="9" t="s">
        <v>51</v>
      </c>
      <c r="H44" s="9" t="s">
        <v>52</v>
      </c>
      <c r="I44" s="9" t="s">
        <v>53</v>
      </c>
      <c r="J44" s="9" t="s">
        <v>54</v>
      </c>
      <c r="K44" s="9" t="s">
        <v>55</v>
      </c>
    </row>
    <row r="45" spans="6:11" x14ac:dyDescent="0.3">
      <c r="F45" t="s">
        <v>47</v>
      </c>
      <c r="G45">
        <v>13</v>
      </c>
      <c r="H45">
        <v>640823.03333333356</v>
      </c>
      <c r="I45">
        <v>49294.079487179508</v>
      </c>
      <c r="J45">
        <v>11.994741778400449</v>
      </c>
      <c r="K45">
        <v>6.9687722199166906E-6</v>
      </c>
    </row>
    <row r="46" spans="6:11" x14ac:dyDescent="0.3">
      <c r="F46" t="s">
        <v>48</v>
      </c>
      <c r="G46">
        <v>18</v>
      </c>
      <c r="H46">
        <v>87423.266666666605</v>
      </c>
      <c r="I46">
        <v>4856.8481481481449</v>
      </c>
    </row>
    <row r="47" spans="6:11" ht="15" thickBot="1" x14ac:dyDescent="0.35">
      <c r="F47" s="8" t="s">
        <v>49</v>
      </c>
      <c r="G47" s="8">
        <v>31</v>
      </c>
      <c r="H47" s="8">
        <v>728246.30000000016</v>
      </c>
      <c r="I47" s="8"/>
      <c r="J47" s="8"/>
      <c r="K47" s="8"/>
    </row>
    <row r="48" spans="6:11" ht="15" thickBot="1" x14ac:dyDescent="0.35"/>
    <row r="49" spans="6:14" x14ac:dyDescent="0.3">
      <c r="F49" s="9"/>
      <c r="G49" s="9" t="s">
        <v>56</v>
      </c>
      <c r="H49" s="9" t="s">
        <v>44</v>
      </c>
      <c r="I49" s="9" t="s">
        <v>57</v>
      </c>
      <c r="J49" s="9" t="s">
        <v>58</v>
      </c>
      <c r="K49" s="9" t="s">
        <v>59</v>
      </c>
      <c r="L49" s="9" t="s">
        <v>60</v>
      </c>
      <c r="M49" s="9" t="s">
        <v>61</v>
      </c>
      <c r="N49" s="9" t="s">
        <v>62</v>
      </c>
    </row>
    <row r="50" spans="6:14" x14ac:dyDescent="0.3">
      <c r="F50" t="s">
        <v>50</v>
      </c>
      <c r="G50">
        <v>722.43333333333328</v>
      </c>
      <c r="H50">
        <v>44.076515960988331</v>
      </c>
      <c r="I50">
        <v>16.390436439503329</v>
      </c>
      <c r="J50">
        <v>2.8989956522069275E-12</v>
      </c>
      <c r="K50">
        <v>629.83200949385696</v>
      </c>
      <c r="L50">
        <v>815.0346571728096</v>
      </c>
      <c r="M50">
        <v>629.83200949385696</v>
      </c>
      <c r="N50">
        <v>815.0346571728096</v>
      </c>
    </row>
    <row r="51" spans="6:14" x14ac:dyDescent="0.3">
      <c r="F51" t="s">
        <v>29</v>
      </c>
      <c r="G51">
        <v>0</v>
      </c>
      <c r="H51">
        <v>0</v>
      </c>
      <c r="I51">
        <v>65535</v>
      </c>
      <c r="J51" t="e">
        <v>#NUM!</v>
      </c>
      <c r="K51">
        <v>0</v>
      </c>
      <c r="L51">
        <v>0</v>
      </c>
      <c r="M51">
        <v>0</v>
      </c>
      <c r="N51">
        <v>0</v>
      </c>
    </row>
    <row r="52" spans="6:14" x14ac:dyDescent="0.3">
      <c r="F52" t="s">
        <v>30</v>
      </c>
      <c r="G52">
        <v>43.333333333333329</v>
      </c>
      <c r="H52">
        <v>56.902537425251033</v>
      </c>
      <c r="I52">
        <v>0.76153604556312382</v>
      </c>
      <c r="J52" t="e">
        <v>#NUM!</v>
      </c>
      <c r="K52">
        <v>-76.214461689017085</v>
      </c>
      <c r="L52">
        <v>162.88112835568376</v>
      </c>
      <c r="M52">
        <v>-76.214461689017085</v>
      </c>
      <c r="N52">
        <v>162.88112835568376</v>
      </c>
    </row>
    <row r="53" spans="6:14" x14ac:dyDescent="0.3">
      <c r="F53" t="s">
        <v>31</v>
      </c>
      <c r="G53">
        <v>229.66666666666694</v>
      </c>
      <c r="H53">
        <v>56.90253742525109</v>
      </c>
      <c r="I53">
        <v>4.0361410414845578</v>
      </c>
      <c r="J53">
        <v>7.7488759876590972E-4</v>
      </c>
      <c r="K53">
        <v>110.11887164431641</v>
      </c>
      <c r="L53">
        <v>349.21446168901747</v>
      </c>
      <c r="M53">
        <v>110.11887164431641</v>
      </c>
      <c r="N53">
        <v>349.21446168901747</v>
      </c>
    </row>
    <row r="54" spans="6:14" x14ac:dyDescent="0.3">
      <c r="F54" t="s">
        <v>32</v>
      </c>
      <c r="G54">
        <v>109.66666666666661</v>
      </c>
      <c r="H54">
        <v>56.902537425251033</v>
      </c>
      <c r="I54">
        <v>1.9272719922328281</v>
      </c>
      <c r="J54">
        <v>6.9879428176678027E-2</v>
      </c>
      <c r="K54">
        <v>-9.8811283556837992</v>
      </c>
      <c r="L54">
        <v>229.21446168901701</v>
      </c>
      <c r="M54">
        <v>-9.8811283556837992</v>
      </c>
      <c r="N54">
        <v>229.21446168901701</v>
      </c>
    </row>
    <row r="55" spans="6:14" x14ac:dyDescent="0.3">
      <c r="F55" t="s">
        <v>33</v>
      </c>
      <c r="G55">
        <v>96.666666666666671</v>
      </c>
      <c r="H55">
        <v>56.902537425251026</v>
      </c>
      <c r="I55">
        <v>1.698811178563892</v>
      </c>
      <c r="J55">
        <v>0.10657260507552679</v>
      </c>
      <c r="K55">
        <v>-22.881128355683728</v>
      </c>
      <c r="L55">
        <v>216.21446168901707</v>
      </c>
      <c r="M55">
        <v>-22.881128355683728</v>
      </c>
      <c r="N55">
        <v>216.21446168901707</v>
      </c>
    </row>
    <row r="56" spans="6:14" x14ac:dyDescent="0.3">
      <c r="F56" t="s">
        <v>34</v>
      </c>
      <c r="G56">
        <v>4.9999999999999565</v>
      </c>
      <c r="H56">
        <v>56.902537425251026</v>
      </c>
      <c r="I56">
        <v>8.7869543718821233E-2</v>
      </c>
      <c r="J56">
        <v>0.93095056400021781</v>
      </c>
      <c r="K56">
        <v>-114.54779502235044</v>
      </c>
      <c r="L56">
        <v>124.54779502235036</v>
      </c>
      <c r="M56">
        <v>-114.54779502235044</v>
      </c>
      <c r="N56">
        <v>124.54779502235036</v>
      </c>
    </row>
    <row r="57" spans="6:14" x14ac:dyDescent="0.3">
      <c r="F57" t="s">
        <v>35</v>
      </c>
      <c r="G57">
        <v>-119.6666666666666</v>
      </c>
      <c r="H57">
        <v>56.902537425251033</v>
      </c>
      <c r="I57">
        <v>-2.1030110796704715</v>
      </c>
      <c r="J57">
        <v>4.9795718877463931E-2</v>
      </c>
      <c r="K57">
        <v>-239.21446168901701</v>
      </c>
      <c r="L57">
        <v>-0.11887164431618658</v>
      </c>
      <c r="M57">
        <v>-239.21446168901701</v>
      </c>
      <c r="N57">
        <v>-0.11887164431618658</v>
      </c>
    </row>
    <row r="58" spans="6:14" x14ac:dyDescent="0.3">
      <c r="F58" t="s">
        <v>36</v>
      </c>
      <c r="G58">
        <v>-9.9999999999999059</v>
      </c>
      <c r="H58">
        <v>56.902537425251047</v>
      </c>
      <c r="I58">
        <v>-0.17573908743764227</v>
      </c>
      <c r="J58">
        <v>0.86246085723193255</v>
      </c>
      <c r="K58">
        <v>-129.54779502235036</v>
      </c>
      <c r="L58">
        <v>109.54779502235054</v>
      </c>
      <c r="M58">
        <v>-129.54779502235036</v>
      </c>
      <c r="N58">
        <v>109.54779502235054</v>
      </c>
    </row>
    <row r="59" spans="6:14" x14ac:dyDescent="0.3">
      <c r="F59" t="s">
        <v>37</v>
      </c>
      <c r="G59">
        <v>162.00000000000009</v>
      </c>
      <c r="H59">
        <v>56.902537425251055</v>
      </c>
      <c r="I59">
        <v>2.8469732164898329</v>
      </c>
      <c r="J59">
        <v>1.0701200580794759E-2</v>
      </c>
      <c r="K59">
        <v>42.452204977649629</v>
      </c>
      <c r="L59">
        <v>281.54779502235056</v>
      </c>
      <c r="M59">
        <v>42.452204977649629</v>
      </c>
      <c r="N59">
        <v>281.54779502235056</v>
      </c>
    </row>
    <row r="60" spans="6:14" x14ac:dyDescent="0.3">
      <c r="F60" t="s">
        <v>38</v>
      </c>
      <c r="G60">
        <v>403.00000000000023</v>
      </c>
      <c r="H60">
        <v>56.902537425251076</v>
      </c>
      <c r="I60">
        <v>7.0822852237370508</v>
      </c>
      <c r="J60">
        <v>1.327755118969108E-6</v>
      </c>
      <c r="K60">
        <v>283.45220497764973</v>
      </c>
      <c r="L60">
        <v>522.54779502235078</v>
      </c>
      <c r="M60">
        <v>283.45220497764973</v>
      </c>
      <c r="N60">
        <v>522.54779502235078</v>
      </c>
    </row>
    <row r="61" spans="6:14" x14ac:dyDescent="0.3">
      <c r="F61" t="s">
        <v>63</v>
      </c>
      <c r="G61">
        <v>0</v>
      </c>
      <c r="H61">
        <v>0</v>
      </c>
      <c r="I61">
        <v>65535</v>
      </c>
      <c r="J61" t="e">
        <v>#NUM!</v>
      </c>
      <c r="K61">
        <v>0</v>
      </c>
      <c r="L61">
        <v>0</v>
      </c>
      <c r="M61">
        <v>0</v>
      </c>
      <c r="N61">
        <v>0</v>
      </c>
    </row>
    <row r="62" spans="6:14" x14ac:dyDescent="0.3">
      <c r="F62" t="s">
        <v>64</v>
      </c>
      <c r="G62">
        <v>89.599999999999824</v>
      </c>
      <c r="H62">
        <v>31.166803327091923</v>
      </c>
      <c r="I62">
        <v>2.8748537044257763</v>
      </c>
      <c r="J62" t="e">
        <v>#NUM!</v>
      </c>
      <c r="K62">
        <v>24.12097596625469</v>
      </c>
      <c r="L62">
        <v>155.07902403374496</v>
      </c>
      <c r="M62">
        <v>24.12097596625469</v>
      </c>
      <c r="N62">
        <v>155.07902403374496</v>
      </c>
    </row>
    <row r="63" spans="6:14" ht="15" thickBot="1" x14ac:dyDescent="0.35">
      <c r="F63" s="8" t="s">
        <v>65</v>
      </c>
      <c r="G63" s="8">
        <v>-5.9000000000000634</v>
      </c>
      <c r="H63" s="8">
        <v>31.16680332709193</v>
      </c>
      <c r="I63" s="8">
        <v>-0.1893039827691104</v>
      </c>
      <c r="J63" s="8">
        <v>0.8519727901187345</v>
      </c>
      <c r="K63" s="8">
        <v>-71.37902403374521</v>
      </c>
      <c r="L63" s="8">
        <v>59.579024033745085</v>
      </c>
      <c r="M63" s="8">
        <v>-71.37902403374521</v>
      </c>
      <c r="N63" s="8">
        <v>59.579024033745085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ADFE-E2FA-41E4-B8FD-3448F37F0B95}">
  <sheetPr codeName="Sheet3"/>
  <dimension ref="A1:V63"/>
  <sheetViews>
    <sheetView workbookViewId="0">
      <selection activeCell="V30" sqref="V30"/>
    </sheetView>
  </sheetViews>
  <sheetFormatPr defaultRowHeight="14.4" x14ac:dyDescent="0.3"/>
  <cols>
    <col min="1" max="1" width="10.5546875" customWidth="1"/>
    <col min="20" max="20" width="10.88671875" customWidth="1"/>
  </cols>
  <sheetData>
    <row r="1" spans="1:19" x14ac:dyDescent="0.3">
      <c r="A1" s="1" t="s">
        <v>18</v>
      </c>
      <c r="B1" s="1" t="s">
        <v>19</v>
      </c>
      <c r="C1" s="1" t="s">
        <v>20</v>
      </c>
      <c r="D1" s="1" t="s">
        <v>21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s="3" t="s">
        <v>63</v>
      </c>
      <c r="Q1" s="3" t="s">
        <v>64</v>
      </c>
      <c r="R1" s="3" t="s">
        <v>65</v>
      </c>
      <c r="S1" s="20" t="s">
        <v>24</v>
      </c>
    </row>
    <row r="2" spans="1:19" x14ac:dyDescent="0.3">
      <c r="A2" s="1" t="s">
        <v>0</v>
      </c>
      <c r="B2" s="1">
        <v>512</v>
      </c>
      <c r="C2" s="1">
        <v>550</v>
      </c>
      <c r="D2" s="1">
        <v>502</v>
      </c>
      <c r="F2" s="1">
        <v>1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6">
        <v>1</v>
      </c>
      <c r="Q2" s="6">
        <v>0</v>
      </c>
      <c r="R2" s="6">
        <v>0</v>
      </c>
      <c r="S2" s="4">
        <v>512</v>
      </c>
    </row>
    <row r="3" spans="1:19" x14ac:dyDescent="0.3">
      <c r="A3" s="1" t="s">
        <v>1</v>
      </c>
      <c r="B3" s="1">
        <v>562</v>
      </c>
      <c r="C3" s="1">
        <v>579</v>
      </c>
      <c r="D3" s="1">
        <v>559</v>
      </c>
      <c r="F3" s="1">
        <v>0</v>
      </c>
      <c r="G3" s="1">
        <v>1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6">
        <v>1</v>
      </c>
      <c r="Q3" s="6">
        <v>0</v>
      </c>
      <c r="R3" s="6">
        <v>0</v>
      </c>
      <c r="S3" s="6">
        <v>562</v>
      </c>
    </row>
    <row r="4" spans="1:19" x14ac:dyDescent="0.3">
      <c r="A4" s="1" t="s">
        <v>2</v>
      </c>
      <c r="B4" s="1">
        <v>698</v>
      </c>
      <c r="C4" s="1">
        <v>721</v>
      </c>
      <c r="D4" s="1">
        <v>693</v>
      </c>
      <c r="F4" s="1">
        <v>0</v>
      </c>
      <c r="G4" s="1">
        <v>0</v>
      </c>
      <c r="H4" s="1">
        <v>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6">
        <v>1</v>
      </c>
      <c r="Q4" s="6">
        <v>0</v>
      </c>
      <c r="R4" s="6">
        <v>0</v>
      </c>
      <c r="S4" s="4">
        <v>698</v>
      </c>
    </row>
    <row r="5" spans="1:19" x14ac:dyDescent="0.3">
      <c r="A5" s="1" t="s">
        <v>3</v>
      </c>
      <c r="B5" s="1">
        <v>732</v>
      </c>
      <c r="C5" s="1">
        <v>759</v>
      </c>
      <c r="D5" s="1">
        <v>701</v>
      </c>
      <c r="F5" s="1">
        <v>0</v>
      </c>
      <c r="G5" s="1">
        <v>0</v>
      </c>
      <c r="H5" s="1">
        <v>0</v>
      </c>
      <c r="I5" s="1">
        <v>1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6">
        <v>1</v>
      </c>
      <c r="Q5" s="6">
        <v>0</v>
      </c>
      <c r="R5" s="6">
        <v>0</v>
      </c>
      <c r="S5" s="6">
        <v>732</v>
      </c>
    </row>
    <row r="6" spans="1:19" x14ac:dyDescent="0.3">
      <c r="A6" s="1" t="s">
        <v>4</v>
      </c>
      <c r="B6" s="1">
        <v>612</v>
      </c>
      <c r="C6" s="1">
        <v>632</v>
      </c>
      <c r="D6" s="1">
        <v>608</v>
      </c>
      <c r="F6" s="1">
        <v>0</v>
      </c>
      <c r="G6" s="1">
        <v>0</v>
      </c>
      <c r="H6" s="1">
        <v>0</v>
      </c>
      <c r="I6" s="1">
        <v>0</v>
      </c>
      <c r="J6" s="1">
        <v>1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6">
        <v>1</v>
      </c>
      <c r="Q6" s="6">
        <v>0</v>
      </c>
      <c r="R6" s="6">
        <v>0</v>
      </c>
      <c r="S6" s="4">
        <v>612</v>
      </c>
    </row>
    <row r="7" spans="1:19" x14ac:dyDescent="0.3">
      <c r="A7" s="1" t="s">
        <v>5</v>
      </c>
      <c r="B7" s="1">
        <v>430</v>
      </c>
      <c r="C7" s="1">
        <v>432</v>
      </c>
      <c r="D7" s="1">
        <v>411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6">
        <v>1</v>
      </c>
      <c r="Q7" s="6">
        <v>0</v>
      </c>
      <c r="R7" s="6">
        <v>0</v>
      </c>
      <c r="S7" s="6">
        <v>430</v>
      </c>
    </row>
    <row r="8" spans="1:19" x14ac:dyDescent="0.3">
      <c r="A8" s="1" t="s">
        <v>6</v>
      </c>
      <c r="B8" s="1">
        <v>389</v>
      </c>
      <c r="C8" s="1">
        <v>357</v>
      </c>
      <c r="D8" s="1">
        <v>321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0</v>
      </c>
      <c r="N8" s="1">
        <v>0</v>
      </c>
      <c r="O8" s="1">
        <v>0</v>
      </c>
      <c r="P8" s="6">
        <v>1</v>
      </c>
      <c r="Q8" s="6">
        <v>0</v>
      </c>
      <c r="R8" s="6">
        <v>0</v>
      </c>
      <c r="S8" s="4">
        <v>389</v>
      </c>
    </row>
    <row r="9" spans="1:19" x14ac:dyDescent="0.3">
      <c r="A9" s="1" t="s">
        <v>7</v>
      </c>
      <c r="B9" s="1">
        <v>523</v>
      </c>
      <c r="C9" s="1">
        <v>585</v>
      </c>
      <c r="D9" s="1">
        <v>546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1</v>
      </c>
      <c r="N9" s="1">
        <v>0</v>
      </c>
      <c r="O9" s="1">
        <v>0</v>
      </c>
      <c r="P9" s="6">
        <v>1</v>
      </c>
      <c r="Q9" s="6">
        <v>0</v>
      </c>
      <c r="R9" s="6">
        <v>0</v>
      </c>
      <c r="S9" s="6">
        <v>523</v>
      </c>
    </row>
    <row r="10" spans="1:19" x14ac:dyDescent="0.3">
      <c r="A10" s="1" t="s">
        <v>8</v>
      </c>
      <c r="B10" s="1">
        <v>745</v>
      </c>
      <c r="C10" s="1">
        <v>790</v>
      </c>
      <c r="D10" s="1">
        <v>761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0</v>
      </c>
      <c r="P10" s="6">
        <v>1</v>
      </c>
      <c r="Q10" s="6">
        <v>0</v>
      </c>
      <c r="R10" s="6">
        <v>0</v>
      </c>
      <c r="S10" s="4">
        <v>745</v>
      </c>
    </row>
    <row r="11" spans="1:19" x14ac:dyDescent="0.3">
      <c r="A11" s="1" t="s">
        <v>9</v>
      </c>
      <c r="B11" s="1">
        <v>1002</v>
      </c>
      <c r="C11" s="1">
        <v>1100</v>
      </c>
      <c r="D11" s="1">
        <v>964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1</v>
      </c>
      <c r="P11" s="6">
        <v>1</v>
      </c>
      <c r="Q11" s="6">
        <v>0</v>
      </c>
      <c r="R11" s="6">
        <v>0</v>
      </c>
      <c r="S11" s="6">
        <v>1002</v>
      </c>
    </row>
    <row r="12" spans="1:19" x14ac:dyDescent="0.3">
      <c r="F12" s="16">
        <v>1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6">
        <v>0</v>
      </c>
      <c r="Q12" s="6">
        <v>1</v>
      </c>
      <c r="R12" s="6">
        <v>0</v>
      </c>
      <c r="S12" s="4">
        <v>550</v>
      </c>
    </row>
    <row r="13" spans="1:19" x14ac:dyDescent="0.3">
      <c r="F13" s="16">
        <v>0</v>
      </c>
      <c r="G13" s="17">
        <v>1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6">
        <v>0</v>
      </c>
      <c r="Q13" s="6">
        <v>1</v>
      </c>
      <c r="R13" s="6">
        <v>0</v>
      </c>
      <c r="S13" s="6">
        <v>579</v>
      </c>
    </row>
    <row r="14" spans="1:19" x14ac:dyDescent="0.3">
      <c r="F14" s="16">
        <v>0</v>
      </c>
      <c r="G14" s="17">
        <v>0</v>
      </c>
      <c r="H14" s="17">
        <v>1</v>
      </c>
      <c r="I14" s="17">
        <v>0</v>
      </c>
      <c r="J14" s="17">
        <v>0</v>
      </c>
      <c r="K14" s="17">
        <v>0</v>
      </c>
      <c r="L14" s="17">
        <v>0</v>
      </c>
      <c r="M14" s="17">
        <v>0</v>
      </c>
      <c r="N14" s="17">
        <v>0</v>
      </c>
      <c r="O14" s="17">
        <v>0</v>
      </c>
      <c r="P14" s="6">
        <v>0</v>
      </c>
      <c r="Q14" s="6">
        <v>1</v>
      </c>
      <c r="R14" s="6">
        <v>0</v>
      </c>
      <c r="S14" s="4">
        <v>721</v>
      </c>
    </row>
    <row r="15" spans="1:19" x14ac:dyDescent="0.3">
      <c r="F15" s="16">
        <v>0</v>
      </c>
      <c r="G15" s="17">
        <v>0</v>
      </c>
      <c r="H15" s="17">
        <v>0</v>
      </c>
      <c r="I15" s="17">
        <v>1</v>
      </c>
      <c r="J15" s="17">
        <v>0</v>
      </c>
      <c r="K15" s="17">
        <v>0</v>
      </c>
      <c r="L15" s="17">
        <v>0</v>
      </c>
      <c r="M15" s="17">
        <v>0</v>
      </c>
      <c r="N15" s="17">
        <v>0</v>
      </c>
      <c r="O15" s="17">
        <v>0</v>
      </c>
      <c r="P15" s="6">
        <v>0</v>
      </c>
      <c r="Q15" s="6">
        <v>1</v>
      </c>
      <c r="R15" s="6">
        <v>0</v>
      </c>
      <c r="S15" s="6">
        <v>759</v>
      </c>
    </row>
    <row r="16" spans="1:19" x14ac:dyDescent="0.3">
      <c r="F16" s="16">
        <v>0</v>
      </c>
      <c r="G16" s="17">
        <v>0</v>
      </c>
      <c r="H16" s="17">
        <v>0</v>
      </c>
      <c r="I16" s="17">
        <v>0</v>
      </c>
      <c r="J16" s="17">
        <v>1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6">
        <v>0</v>
      </c>
      <c r="Q16" s="6">
        <v>1</v>
      </c>
      <c r="R16" s="6">
        <v>0</v>
      </c>
      <c r="S16" s="4">
        <v>632</v>
      </c>
    </row>
    <row r="17" spans="6:22" x14ac:dyDescent="0.3">
      <c r="F17" s="16">
        <v>0</v>
      </c>
      <c r="G17" s="17">
        <v>0</v>
      </c>
      <c r="H17" s="17">
        <v>0</v>
      </c>
      <c r="I17" s="17">
        <v>0</v>
      </c>
      <c r="J17" s="17">
        <v>0</v>
      </c>
      <c r="K17" s="17">
        <v>1</v>
      </c>
      <c r="L17" s="17">
        <v>0</v>
      </c>
      <c r="M17" s="17">
        <v>0</v>
      </c>
      <c r="N17" s="17">
        <v>0</v>
      </c>
      <c r="O17" s="17">
        <v>0</v>
      </c>
      <c r="P17" s="6">
        <v>0</v>
      </c>
      <c r="Q17" s="6">
        <v>1</v>
      </c>
      <c r="R17" s="6">
        <v>0</v>
      </c>
      <c r="S17" s="6">
        <v>432</v>
      </c>
    </row>
    <row r="18" spans="6:22" x14ac:dyDescent="0.3">
      <c r="F18" s="16">
        <v>0</v>
      </c>
      <c r="G18" s="17">
        <v>0</v>
      </c>
      <c r="H18" s="17">
        <v>0</v>
      </c>
      <c r="I18" s="17">
        <v>0</v>
      </c>
      <c r="J18" s="17">
        <v>0</v>
      </c>
      <c r="K18" s="17">
        <v>0</v>
      </c>
      <c r="L18" s="17">
        <v>1</v>
      </c>
      <c r="M18" s="17">
        <v>0</v>
      </c>
      <c r="N18" s="17">
        <v>0</v>
      </c>
      <c r="O18" s="17">
        <v>0</v>
      </c>
      <c r="P18" s="6">
        <v>0</v>
      </c>
      <c r="Q18" s="6">
        <v>1</v>
      </c>
      <c r="R18" s="6">
        <v>0</v>
      </c>
      <c r="S18" s="4">
        <v>357</v>
      </c>
    </row>
    <row r="19" spans="6:22" x14ac:dyDescent="0.3">
      <c r="F19" s="16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1</v>
      </c>
      <c r="N19" s="17">
        <v>0</v>
      </c>
      <c r="O19" s="17">
        <v>0</v>
      </c>
      <c r="P19" s="6">
        <v>0</v>
      </c>
      <c r="Q19" s="6">
        <v>1</v>
      </c>
      <c r="R19" s="6">
        <v>0</v>
      </c>
      <c r="S19" s="6">
        <v>585</v>
      </c>
    </row>
    <row r="20" spans="6:22" x14ac:dyDescent="0.3">
      <c r="F20" s="16">
        <v>0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1</v>
      </c>
      <c r="O20" s="17">
        <v>0</v>
      </c>
      <c r="P20" s="6">
        <v>0</v>
      </c>
      <c r="Q20" s="6">
        <v>1</v>
      </c>
      <c r="R20" s="6">
        <v>0</v>
      </c>
      <c r="S20" s="4">
        <v>790</v>
      </c>
    </row>
    <row r="21" spans="6:22" x14ac:dyDescent="0.3">
      <c r="F21" s="18">
        <v>0</v>
      </c>
      <c r="G21" s="19">
        <v>0</v>
      </c>
      <c r="H21" s="19">
        <v>0</v>
      </c>
      <c r="I21" s="19">
        <v>0</v>
      </c>
      <c r="J21" s="19">
        <v>0</v>
      </c>
      <c r="K21" s="19">
        <v>0</v>
      </c>
      <c r="L21" s="19">
        <v>0</v>
      </c>
      <c r="M21" s="19">
        <v>0</v>
      </c>
      <c r="N21" s="19">
        <v>0</v>
      </c>
      <c r="O21" s="19">
        <v>1</v>
      </c>
      <c r="P21" s="6">
        <v>0</v>
      </c>
      <c r="Q21" s="6">
        <v>1</v>
      </c>
      <c r="R21" s="6">
        <v>0</v>
      </c>
      <c r="S21" s="6">
        <v>1100</v>
      </c>
      <c r="T21" s="21" t="s">
        <v>66</v>
      </c>
      <c r="U21" s="21" t="s">
        <v>67</v>
      </c>
      <c r="V21" s="21" t="s">
        <v>11</v>
      </c>
    </row>
    <row r="22" spans="6:22" x14ac:dyDescent="0.3">
      <c r="F22" s="16">
        <v>1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6">
        <v>0</v>
      </c>
      <c r="Q22" s="6">
        <v>0</v>
      </c>
      <c r="R22" s="6">
        <v>1</v>
      </c>
      <c r="S22" s="5">
        <v>502</v>
      </c>
      <c r="T22">
        <f>$G$50+$G$51*F22+$G$52*G22+$G$53*H22+$G$54*I22+$G$55*J22+$G$56*K22+$G$57*L22+$G$58*M22+$G$59*N22+$G$60*O22+$G$61*P22+$G$62*Q22+$G$63*R22</f>
        <v>502.06666666666689</v>
      </c>
      <c r="U22">
        <f>(T22-S22)^2</f>
        <v>4.4444444444742557E-3</v>
      </c>
      <c r="V22">
        <f>AVERAGE(U22:U26)</f>
        <v>81.946666666664285</v>
      </c>
    </row>
    <row r="23" spans="6:22" x14ac:dyDescent="0.3">
      <c r="F23" s="16">
        <v>0</v>
      </c>
      <c r="G23" s="17">
        <v>1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6">
        <v>0</v>
      </c>
      <c r="Q23" s="6">
        <v>0</v>
      </c>
      <c r="R23" s="6">
        <v>1</v>
      </c>
      <c r="S23" s="7">
        <v>559</v>
      </c>
      <c r="T23">
        <f t="shared" ref="T23:T31" si="0">$G$50+$G$51*F23+$G$52*G23+$G$53*H23+$G$54*I23+$G$55*J23+$G$56*K23+$G$57*L23+$G$58*M23+$G$59*N23+$G$60*O23+$G$61*P23+$G$62*Q23+$G$63*R23</f>
        <v>547.4000000000002</v>
      </c>
      <c r="U23">
        <f t="shared" ref="U23:U26" si="1">(T23-S23)^2</f>
        <v>134.55999999999526</v>
      </c>
    </row>
    <row r="24" spans="6:22" x14ac:dyDescent="0.3">
      <c r="F24" s="16">
        <v>0</v>
      </c>
      <c r="G24" s="17">
        <v>0</v>
      </c>
      <c r="H24" s="17">
        <v>1</v>
      </c>
      <c r="I24" s="17">
        <v>0</v>
      </c>
      <c r="J24" s="17">
        <v>0</v>
      </c>
      <c r="K24" s="17">
        <v>0</v>
      </c>
      <c r="L24" s="17">
        <v>0</v>
      </c>
      <c r="M24" s="17">
        <v>0</v>
      </c>
      <c r="N24" s="17">
        <v>0</v>
      </c>
      <c r="O24" s="17">
        <v>0</v>
      </c>
      <c r="P24" s="6">
        <v>0</v>
      </c>
      <c r="Q24" s="6">
        <v>0</v>
      </c>
      <c r="R24" s="6">
        <v>1</v>
      </c>
      <c r="S24" s="5">
        <v>693</v>
      </c>
      <c r="T24">
        <f t="shared" si="0"/>
        <v>684.73333333333369</v>
      </c>
      <c r="U24">
        <f t="shared" si="1"/>
        <v>68.33777777777189</v>
      </c>
    </row>
    <row r="25" spans="6:22" x14ac:dyDescent="0.3">
      <c r="F25" s="16">
        <v>0</v>
      </c>
      <c r="G25" s="17">
        <v>0</v>
      </c>
      <c r="H25" s="17">
        <v>0</v>
      </c>
      <c r="I25" s="17">
        <v>1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6">
        <v>0</v>
      </c>
      <c r="Q25" s="6">
        <v>0</v>
      </c>
      <c r="R25" s="6">
        <v>1</v>
      </c>
      <c r="S25" s="7">
        <v>701</v>
      </c>
      <c r="T25">
        <f t="shared" si="0"/>
        <v>711.4000000000002</v>
      </c>
      <c r="U25">
        <f t="shared" si="1"/>
        <v>108.16000000000426</v>
      </c>
    </row>
    <row r="26" spans="6:22" x14ac:dyDescent="0.3">
      <c r="F26" s="16">
        <v>0</v>
      </c>
      <c r="G26" s="17">
        <v>0</v>
      </c>
      <c r="H26" s="17">
        <v>0</v>
      </c>
      <c r="I26" s="17">
        <v>0</v>
      </c>
      <c r="J26" s="17">
        <v>1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6">
        <v>0</v>
      </c>
      <c r="Q26" s="6">
        <v>0</v>
      </c>
      <c r="R26" s="6">
        <v>1</v>
      </c>
      <c r="S26" s="5">
        <v>608</v>
      </c>
      <c r="T26">
        <f t="shared" si="0"/>
        <v>598.06666666666695</v>
      </c>
      <c r="U26">
        <f t="shared" si="1"/>
        <v>98.671111111105546</v>
      </c>
    </row>
    <row r="27" spans="6:22" x14ac:dyDescent="0.3">
      <c r="F27" s="16">
        <v>0</v>
      </c>
      <c r="G27" s="17">
        <v>0</v>
      </c>
      <c r="H27" s="17">
        <v>0</v>
      </c>
      <c r="I27" s="17">
        <v>0</v>
      </c>
      <c r="J27" s="17">
        <v>0</v>
      </c>
      <c r="K27" s="17">
        <v>1</v>
      </c>
      <c r="L27" s="17">
        <v>0</v>
      </c>
      <c r="M27" s="17">
        <v>0</v>
      </c>
      <c r="N27" s="17">
        <v>0</v>
      </c>
      <c r="O27" s="17">
        <v>0</v>
      </c>
      <c r="P27" s="6">
        <v>0</v>
      </c>
      <c r="Q27" s="6">
        <v>0</v>
      </c>
      <c r="R27" s="6">
        <v>1</v>
      </c>
      <c r="S27" s="7">
        <v>411</v>
      </c>
      <c r="T27">
        <f t="shared" si="0"/>
        <v>405.06666666666689</v>
      </c>
    </row>
    <row r="28" spans="6:22" x14ac:dyDescent="0.3">
      <c r="F28" s="16">
        <v>0</v>
      </c>
      <c r="G28" s="17">
        <v>0</v>
      </c>
      <c r="H28" s="17">
        <v>0</v>
      </c>
      <c r="I28" s="17">
        <v>0</v>
      </c>
      <c r="J28" s="17">
        <v>0</v>
      </c>
      <c r="K28" s="17">
        <v>0</v>
      </c>
      <c r="L28" s="17">
        <v>1</v>
      </c>
      <c r="M28" s="17">
        <v>0</v>
      </c>
      <c r="N28" s="17">
        <v>0</v>
      </c>
      <c r="O28" s="17">
        <v>0</v>
      </c>
      <c r="P28" s="6">
        <v>0</v>
      </c>
      <c r="Q28" s="6">
        <v>0</v>
      </c>
      <c r="R28" s="6">
        <v>1</v>
      </c>
      <c r="S28" s="5">
        <v>321</v>
      </c>
      <c r="T28">
        <f t="shared" si="0"/>
        <v>336.40000000000026</v>
      </c>
    </row>
    <row r="29" spans="6:22" x14ac:dyDescent="0.3">
      <c r="F29" s="16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1</v>
      </c>
      <c r="N29" s="17">
        <v>0</v>
      </c>
      <c r="O29" s="17">
        <v>0</v>
      </c>
      <c r="P29" s="6">
        <v>0</v>
      </c>
      <c r="Q29" s="6">
        <v>0</v>
      </c>
      <c r="R29" s="6">
        <v>1</v>
      </c>
      <c r="S29" s="7">
        <v>546</v>
      </c>
      <c r="T29">
        <f t="shared" si="0"/>
        <v>532.06666666666695</v>
      </c>
    </row>
    <row r="30" spans="6:22" x14ac:dyDescent="0.3">
      <c r="F30" s="16">
        <v>0</v>
      </c>
      <c r="G30" s="17">
        <v>0</v>
      </c>
      <c r="H30" s="17">
        <v>0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1</v>
      </c>
      <c r="O30" s="17">
        <v>0</v>
      </c>
      <c r="P30" s="6">
        <v>0</v>
      </c>
      <c r="Q30" s="6">
        <v>0</v>
      </c>
      <c r="R30" s="6">
        <v>1</v>
      </c>
      <c r="S30" s="5">
        <v>761</v>
      </c>
      <c r="T30">
        <f t="shared" si="0"/>
        <v>746.06666666666695</v>
      </c>
    </row>
    <row r="31" spans="6:22" x14ac:dyDescent="0.3">
      <c r="F31" s="18">
        <v>0</v>
      </c>
      <c r="G31" s="19">
        <v>0</v>
      </c>
      <c r="H31" s="19">
        <v>0</v>
      </c>
      <c r="I31" s="19">
        <v>0</v>
      </c>
      <c r="J31" s="1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1</v>
      </c>
      <c r="P31" s="6">
        <v>0</v>
      </c>
      <c r="Q31" s="6">
        <v>0</v>
      </c>
      <c r="R31" s="6">
        <v>1</v>
      </c>
      <c r="S31" s="7">
        <v>964</v>
      </c>
      <c r="T31">
        <f t="shared" si="0"/>
        <v>1002.7333333333337</v>
      </c>
    </row>
    <row r="34" spans="6:11" x14ac:dyDescent="0.3">
      <c r="F34" t="s">
        <v>39</v>
      </c>
    </row>
    <row r="35" spans="6:11" ht="15" thickBot="1" x14ac:dyDescent="0.35"/>
    <row r="36" spans="6:11" x14ac:dyDescent="0.3">
      <c r="F36" s="10" t="s">
        <v>40</v>
      </c>
      <c r="G36" s="10"/>
    </row>
    <row r="37" spans="6:11" x14ac:dyDescent="0.3">
      <c r="F37" t="s">
        <v>41</v>
      </c>
      <c r="G37">
        <v>0.99532036439043481</v>
      </c>
    </row>
    <row r="38" spans="6:11" x14ac:dyDescent="0.3">
      <c r="F38" t="s">
        <v>42</v>
      </c>
      <c r="G38">
        <v>0.99066262777030789</v>
      </c>
    </row>
    <row r="39" spans="6:11" x14ac:dyDescent="0.3">
      <c r="F39" t="s">
        <v>43</v>
      </c>
      <c r="G39">
        <v>0.87384534474105158</v>
      </c>
    </row>
    <row r="40" spans="6:11" x14ac:dyDescent="0.3">
      <c r="F40" t="s">
        <v>44</v>
      </c>
      <c r="G40">
        <v>22.78555422809551</v>
      </c>
    </row>
    <row r="41" spans="6:11" ht="15" thickBot="1" x14ac:dyDescent="0.35">
      <c r="F41" s="8" t="s">
        <v>45</v>
      </c>
      <c r="G41" s="8">
        <v>30</v>
      </c>
    </row>
    <row r="43" spans="6:11" ht="15" thickBot="1" x14ac:dyDescent="0.35">
      <c r="F43" t="s">
        <v>46</v>
      </c>
    </row>
    <row r="44" spans="6:11" x14ac:dyDescent="0.3">
      <c r="F44" s="9"/>
      <c r="G44" s="9" t="s">
        <v>51</v>
      </c>
      <c r="H44" s="9" t="s">
        <v>52</v>
      </c>
      <c r="I44" s="9" t="s">
        <v>53</v>
      </c>
      <c r="J44" s="9" t="s">
        <v>54</v>
      </c>
      <c r="K44" s="9" t="s">
        <v>55</v>
      </c>
    </row>
    <row r="45" spans="6:11" x14ac:dyDescent="0.3">
      <c r="F45" t="s">
        <v>47</v>
      </c>
      <c r="G45">
        <v>13</v>
      </c>
      <c r="H45">
        <v>991500.20000000019</v>
      </c>
      <c r="I45">
        <v>76269.246153846165</v>
      </c>
      <c r="J45">
        <v>173.61247469955634</v>
      </c>
      <c r="K45">
        <v>1.1586694392604738E-14</v>
      </c>
    </row>
    <row r="46" spans="6:11" x14ac:dyDescent="0.3">
      <c r="F46" t="s">
        <v>48</v>
      </c>
      <c r="G46">
        <v>18</v>
      </c>
      <c r="H46">
        <v>9345.2666666666628</v>
      </c>
      <c r="I46">
        <v>519.18148148148123</v>
      </c>
    </row>
    <row r="47" spans="6:11" ht="15" thickBot="1" x14ac:dyDescent="0.35">
      <c r="F47" s="8" t="s">
        <v>49</v>
      </c>
      <c r="G47" s="8">
        <v>31</v>
      </c>
      <c r="H47" s="8">
        <v>1000845.4666666668</v>
      </c>
      <c r="I47" s="8"/>
      <c r="J47" s="8"/>
      <c r="K47" s="8"/>
    </row>
    <row r="48" spans="6:11" ht="15" thickBot="1" x14ac:dyDescent="0.35"/>
    <row r="49" spans="6:14" x14ac:dyDescent="0.3">
      <c r="F49" s="9"/>
      <c r="G49" s="9" t="s">
        <v>56</v>
      </c>
      <c r="H49" s="9" t="s">
        <v>44</v>
      </c>
      <c r="I49" s="9" t="s">
        <v>57</v>
      </c>
      <c r="J49" s="9" t="s">
        <v>58</v>
      </c>
      <c r="K49" s="9" t="s">
        <v>59</v>
      </c>
      <c r="L49" s="9" t="s">
        <v>60</v>
      </c>
      <c r="M49" s="9" t="s">
        <v>61</v>
      </c>
      <c r="N49" s="9" t="s">
        <v>62</v>
      </c>
    </row>
    <row r="50" spans="6:14" x14ac:dyDescent="0.3">
      <c r="F50" t="s">
        <v>50</v>
      </c>
      <c r="G50">
        <v>515.96666666666692</v>
      </c>
      <c r="H50">
        <v>14.41084982201232</v>
      </c>
      <c r="I50">
        <v>35.80404161026901</v>
      </c>
      <c r="J50">
        <v>3.4927950049920957E-18</v>
      </c>
      <c r="K50">
        <v>485.69059465699763</v>
      </c>
      <c r="L50">
        <v>546.24273867633622</v>
      </c>
      <c r="M50">
        <v>485.69059465699763</v>
      </c>
      <c r="N50">
        <v>546.24273867633622</v>
      </c>
    </row>
    <row r="51" spans="6:14" x14ac:dyDescent="0.3">
      <c r="F51" t="s">
        <v>29</v>
      </c>
      <c r="G51">
        <v>0</v>
      </c>
      <c r="H51">
        <v>0</v>
      </c>
      <c r="I51">
        <v>65535</v>
      </c>
      <c r="J51" t="e">
        <v>#NUM!</v>
      </c>
      <c r="K51">
        <v>0</v>
      </c>
      <c r="L51">
        <v>0</v>
      </c>
      <c r="M51">
        <v>0</v>
      </c>
      <c r="N51">
        <v>0</v>
      </c>
    </row>
    <row r="52" spans="6:14" x14ac:dyDescent="0.3">
      <c r="F52" t="s">
        <v>30</v>
      </c>
      <c r="G52">
        <v>45.333333333333314</v>
      </c>
      <c r="H52">
        <v>18.604327121783271</v>
      </c>
      <c r="I52">
        <v>2.43670910732664</v>
      </c>
      <c r="J52" t="e">
        <v>#NUM!</v>
      </c>
      <c r="K52">
        <v>6.2470924393247316</v>
      </c>
      <c r="L52">
        <v>84.419574227341897</v>
      </c>
      <c r="M52">
        <v>6.2470924393247316</v>
      </c>
      <c r="N52">
        <v>84.419574227341897</v>
      </c>
    </row>
    <row r="53" spans="6:14" x14ac:dyDescent="0.3">
      <c r="F53" t="s">
        <v>31</v>
      </c>
      <c r="G53">
        <v>182.66666666666677</v>
      </c>
      <c r="H53">
        <v>18.604327121783292</v>
      </c>
      <c r="I53">
        <v>9.8185043442279305</v>
      </c>
      <c r="J53">
        <v>1.1830146960285085E-8</v>
      </c>
      <c r="K53">
        <v>143.58042577265815</v>
      </c>
      <c r="L53">
        <v>221.7529075606754</v>
      </c>
      <c r="M53">
        <v>143.58042577265815</v>
      </c>
      <c r="N53">
        <v>221.7529075606754</v>
      </c>
    </row>
    <row r="54" spans="6:14" x14ac:dyDescent="0.3">
      <c r="F54" t="s">
        <v>32</v>
      </c>
      <c r="G54">
        <v>209.33333333333331</v>
      </c>
      <c r="H54">
        <v>18.604327121783271</v>
      </c>
      <c r="I54">
        <v>11.251862642655372</v>
      </c>
      <c r="J54">
        <v>1.4122781824275871E-9</v>
      </c>
      <c r="K54">
        <v>170.24709243932472</v>
      </c>
      <c r="L54">
        <v>248.41957422734191</v>
      </c>
      <c r="M54">
        <v>170.24709243932472</v>
      </c>
      <c r="N54">
        <v>248.41957422734191</v>
      </c>
    </row>
    <row r="55" spans="6:14" x14ac:dyDescent="0.3">
      <c r="F55" t="s">
        <v>33</v>
      </c>
      <c r="G55">
        <v>95.999999999999972</v>
      </c>
      <c r="H55">
        <v>18.604327121783268</v>
      </c>
      <c r="I55">
        <v>5.1600898743387686</v>
      </c>
      <c r="J55">
        <v>6.5739565990266362E-5</v>
      </c>
      <c r="K55">
        <v>56.913759105991396</v>
      </c>
      <c r="L55">
        <v>135.08624089400854</v>
      </c>
      <c r="M55">
        <v>56.913759105991396</v>
      </c>
      <c r="N55">
        <v>135.08624089400854</v>
      </c>
    </row>
    <row r="56" spans="6:14" x14ac:dyDescent="0.3">
      <c r="F56" t="s">
        <v>34</v>
      </c>
      <c r="G56">
        <v>-97</v>
      </c>
      <c r="H56">
        <v>18.604327121783268</v>
      </c>
      <c r="I56">
        <v>-5.2138408105297991</v>
      </c>
      <c r="J56">
        <v>5.858013472436434E-5</v>
      </c>
      <c r="K56">
        <v>-136.08624089400857</v>
      </c>
      <c r="L56">
        <v>-57.913759105991424</v>
      </c>
      <c r="M56">
        <v>-136.08624089400857</v>
      </c>
      <c r="N56">
        <v>-57.913759105991424</v>
      </c>
    </row>
    <row r="57" spans="6:14" x14ac:dyDescent="0.3">
      <c r="F57" t="s">
        <v>35</v>
      </c>
      <c r="G57">
        <v>-165.66666666666666</v>
      </c>
      <c r="H57">
        <v>18.604327121783271</v>
      </c>
      <c r="I57">
        <v>-8.9047384289804459</v>
      </c>
      <c r="J57">
        <v>5.1588269267856542E-8</v>
      </c>
      <c r="K57">
        <v>-204.75290756067523</v>
      </c>
      <c r="L57">
        <v>-126.58042577265807</v>
      </c>
      <c r="M57">
        <v>-204.75290756067523</v>
      </c>
      <c r="N57">
        <v>-126.58042577265807</v>
      </c>
    </row>
    <row r="58" spans="6:14" x14ac:dyDescent="0.3">
      <c r="F58" t="s">
        <v>36</v>
      </c>
      <c r="G58">
        <v>30.000000000000028</v>
      </c>
      <c r="H58">
        <v>18.604327121783278</v>
      </c>
      <c r="I58">
        <v>1.6125280857308664</v>
      </c>
      <c r="J58">
        <v>0.12424171130599575</v>
      </c>
      <c r="K58">
        <v>-9.0862408940085686</v>
      </c>
      <c r="L58">
        <v>69.086240894008625</v>
      </c>
      <c r="M58">
        <v>-9.0862408940085686</v>
      </c>
      <c r="N58">
        <v>69.086240894008625</v>
      </c>
    </row>
    <row r="59" spans="6:14" x14ac:dyDescent="0.3">
      <c r="F59" t="s">
        <v>37</v>
      </c>
      <c r="G59">
        <v>244.00000000000003</v>
      </c>
      <c r="H59">
        <v>18.604327121783278</v>
      </c>
      <c r="I59">
        <v>13.115228430611035</v>
      </c>
      <c r="J59">
        <v>1.1915729402698985E-10</v>
      </c>
      <c r="K59">
        <v>204.91375910599143</v>
      </c>
      <c r="L59">
        <v>283.0862408940086</v>
      </c>
      <c r="M59">
        <v>204.91375910599143</v>
      </c>
      <c r="N59">
        <v>283.0862408940086</v>
      </c>
    </row>
    <row r="60" spans="6:14" x14ac:dyDescent="0.3">
      <c r="F60" t="s">
        <v>38</v>
      </c>
      <c r="G60">
        <v>500.66666666666674</v>
      </c>
      <c r="H60">
        <v>18.604327121783285</v>
      </c>
      <c r="I60">
        <v>26.911302052975095</v>
      </c>
      <c r="J60">
        <v>5.4417196091838651E-16</v>
      </c>
      <c r="K60">
        <v>461.58042577265815</v>
      </c>
      <c r="L60">
        <v>539.75290756067534</v>
      </c>
      <c r="M60">
        <v>461.58042577265815</v>
      </c>
      <c r="N60">
        <v>539.75290756067534</v>
      </c>
    </row>
    <row r="61" spans="6:14" x14ac:dyDescent="0.3">
      <c r="F61" t="s">
        <v>63</v>
      </c>
      <c r="G61">
        <v>0</v>
      </c>
      <c r="H61">
        <v>0</v>
      </c>
      <c r="I61">
        <v>65535</v>
      </c>
      <c r="J61" t="e">
        <v>#NUM!</v>
      </c>
      <c r="K61">
        <v>0</v>
      </c>
      <c r="L61">
        <v>0</v>
      </c>
      <c r="M61">
        <v>0</v>
      </c>
      <c r="N61">
        <v>0</v>
      </c>
    </row>
    <row r="62" spans="6:14" x14ac:dyDescent="0.3">
      <c r="F62" t="s">
        <v>64</v>
      </c>
      <c r="G62">
        <v>29.999999999999897</v>
      </c>
      <c r="H62">
        <v>10.190009631805859</v>
      </c>
      <c r="I62">
        <v>2.9440600238847212</v>
      </c>
      <c r="J62" t="e">
        <v>#NUM!</v>
      </c>
      <c r="K62">
        <v>8.5915841742705048</v>
      </c>
      <c r="L62">
        <v>51.408415825729293</v>
      </c>
      <c r="M62">
        <v>8.5915841742705048</v>
      </c>
      <c r="N62">
        <v>51.408415825729293</v>
      </c>
    </row>
    <row r="63" spans="6:14" ht="15" thickBot="1" x14ac:dyDescent="0.35">
      <c r="F63" s="8" t="s">
        <v>65</v>
      </c>
      <c r="G63" s="8">
        <v>-13.90000000000002</v>
      </c>
      <c r="H63" s="8">
        <v>10.190009631805861</v>
      </c>
      <c r="I63" s="8">
        <v>-1.3640811443999272</v>
      </c>
      <c r="J63" s="8">
        <v>0.18935688434326312</v>
      </c>
      <c r="K63" s="8">
        <v>-35.308415825729412</v>
      </c>
      <c r="L63" s="8">
        <v>7.5084158257293758</v>
      </c>
      <c r="M63" s="8">
        <v>-35.308415825729412</v>
      </c>
      <c r="N63" s="8">
        <v>7.5084158257293758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0244D-1637-4F54-9812-37452F6A8D5E}">
  <dimension ref="A1:M11"/>
  <sheetViews>
    <sheetView workbookViewId="0">
      <selection activeCell="G5" sqref="G5"/>
    </sheetView>
  </sheetViews>
  <sheetFormatPr defaultRowHeight="14.4" x14ac:dyDescent="0.3"/>
  <cols>
    <col min="1" max="1" width="14.5546875" customWidth="1"/>
    <col min="2" max="2" width="10.5546875" customWidth="1"/>
    <col min="3" max="3" width="9.77734375" customWidth="1"/>
    <col min="4" max="4" width="9.5546875" customWidth="1"/>
  </cols>
  <sheetData>
    <row r="1" spans="1:13" x14ac:dyDescent="0.3">
      <c r="A1" s="21" t="s">
        <v>70</v>
      </c>
      <c r="B1" s="21" t="s">
        <v>15</v>
      </c>
      <c r="C1" s="21" t="s">
        <v>16</v>
      </c>
      <c r="D1" s="21" t="s">
        <v>17</v>
      </c>
      <c r="F1" s="21" t="s">
        <v>10</v>
      </c>
      <c r="G1" s="2">
        <v>0.43954548823593437</v>
      </c>
      <c r="I1" s="21" t="s">
        <v>268</v>
      </c>
      <c r="M1" s="21" t="s">
        <v>11</v>
      </c>
    </row>
    <row r="2" spans="1:13" x14ac:dyDescent="0.3">
      <c r="A2" s="22" t="s">
        <v>0</v>
      </c>
      <c r="B2">
        <f>$G$1*(HistoricalDemand_Store1!$C2-0)+(1-$G$1)*(HistoricalDemand_Store1!$B2-0)+0</f>
        <v>694.78362868220688</v>
      </c>
      <c r="C2">
        <f>$G$1*(HistoricalDemand_Store2!$C2-0)+(1-$G$1)*(HistoricalDemand_Store2!$B2-0)+0</f>
        <v>728.08546007069322</v>
      </c>
      <c r="D2">
        <f>$G$1*(HistoricalDemand_Store3!$C2-0)+(1-$G$1)*(HistoricalDemand_Store3!$B2-0)+0</f>
        <v>528.70272855296548</v>
      </c>
      <c r="H2" s="22" t="s">
        <v>0</v>
      </c>
      <c r="I2">
        <f>(B2-HistoricalDemand_Store1!$D2)^2</f>
        <v>15679.139645995443</v>
      </c>
      <c r="J2">
        <f>(C2-HistoricalDemand_Store2!$D2)^2</f>
        <v>2200.9740567785207</v>
      </c>
      <c r="K2">
        <f>(D2-HistoricalDemand_Store3!$D2)^2</f>
        <v>713.03571217335798</v>
      </c>
      <c r="M2" s="2">
        <f>AVERAGE(I2:K6)</f>
        <v>4907.5104526196346</v>
      </c>
    </row>
    <row r="3" spans="1:13" x14ac:dyDescent="0.3">
      <c r="A3" s="22" t="s">
        <v>1</v>
      </c>
      <c r="B3">
        <f>$G$1*(HistoricalDemand_Store1!$C3-AVERAGE(HistoricalDemand_Store1!$C$2:$C2))+(1-$G$1)*(HistoricalDemand_Store1!$B3-AVERAGE(HistoricalDemand_Store1!$B$2:$B2))+AVERAGE(HistoricalDemand_Store1!$D$2:$D2)</f>
        <v>906.8577259587986</v>
      </c>
      <c r="C3">
        <f>$G$1*(HistoricalDemand_Store2!$C3-AVERAGE(HistoricalDemand_Store2!$C$2:$C2))+(1-$G$1)*(HistoricalDemand_Store2!$B3-AVERAGE(HistoricalDemand_Store2!$B$2:$B2))+AVERAGE(HistoricalDemand_Store2!$D$2:$D2)</f>
        <v>827.24181804705631</v>
      </c>
      <c r="D3">
        <f>$G$1*(HistoricalDemand_Store3!$C3-AVERAGE(HistoricalDemand_Store3!$C$2:$C2))+(1-$G$1)*(HistoricalDemand_Store3!$B3-AVERAGE(HistoricalDemand_Store3!$B$2:$B2))+AVERAGE(HistoricalDemand_Store3!$D$2:$D2)</f>
        <v>542.76954474704542</v>
      </c>
      <c r="F3" s="1"/>
      <c r="H3" s="22" t="s">
        <v>1</v>
      </c>
      <c r="I3">
        <f>(B3-HistoricalDemand_Store1!$D3)^2</f>
        <v>7769.0604731542471</v>
      </c>
      <c r="J3">
        <f>(C3-HistoricalDemand_Store2!$D3)^2</f>
        <v>688.63301441481042</v>
      </c>
      <c r="K3">
        <f>(D3-HistoricalDemand_Store3!$D3)^2</f>
        <v>263.42767771816108</v>
      </c>
    </row>
    <row r="4" spans="1:13" x14ac:dyDescent="0.3">
      <c r="A4" s="22" t="s">
        <v>2</v>
      </c>
      <c r="B4">
        <f>$G$1*(HistoricalDemand_Store1!$C4-AVERAGE(HistoricalDemand_Store1!$C$2:$C3))+(1-$G$1)*(HistoricalDemand_Store1!$B4-AVERAGE(HistoricalDemand_Store1!$B$2:$B3))+AVERAGE(HistoricalDemand_Store1!$D$2:$D3)</f>
        <v>740.42114072655352</v>
      </c>
      <c r="C4">
        <f>$G$1*(HistoricalDemand_Store2!$C4-AVERAGE(HistoricalDemand_Store2!$C$2:$C3))+(1-$G$1)*(HistoricalDemand_Store2!$B4-AVERAGE(HistoricalDemand_Store2!$B$2:$B3))+AVERAGE(HistoricalDemand_Store2!$D$2:$D3)</f>
        <v>1040.8777304059417</v>
      </c>
      <c r="D4">
        <f>$G$1*(HistoricalDemand_Store3!$C4-AVERAGE(HistoricalDemand_Store3!$C$2:$C3))+(1-$G$1)*(HistoricalDemand_Store3!$B4-AVERAGE(HistoricalDemand_Store3!$B$2:$B3))+AVERAGE(HistoricalDemand_Store3!$D$2:$D3)</f>
        <v>689.5220453029383</v>
      </c>
      <c r="F4" s="1"/>
      <c r="H4" s="22" t="s">
        <v>2</v>
      </c>
      <c r="I4">
        <f>(B4-HistoricalDemand_Store1!$D4)^2</f>
        <v>417.02298857370272</v>
      </c>
      <c r="J4">
        <f>(C4-HistoricalDemand_Store2!$D4)^2</f>
        <v>21280.312228388622</v>
      </c>
      <c r="K4">
        <f>(D4-HistoricalDemand_Store3!$D4)^2</f>
        <v>12.096168874813575</v>
      </c>
    </row>
    <row r="5" spans="1:13" x14ac:dyDescent="0.3">
      <c r="A5" s="22" t="s">
        <v>3</v>
      </c>
      <c r="B5">
        <f>$G$1*(HistoricalDemand_Store1!$C5-AVERAGE(HistoricalDemand_Store1!$C$2:$C4))+(1-$G$1)*(HistoricalDemand_Store1!$B5-AVERAGE(HistoricalDemand_Store1!$B$2:$B4))+AVERAGE(HistoricalDemand_Store1!$D$2:$D4)</f>
        <v>1003.2740923353213</v>
      </c>
      <c r="C5">
        <f>$G$1*(HistoricalDemand_Store2!$C5-AVERAGE(HistoricalDemand_Store2!$C$2:$C4))+(1-$G$1)*(HistoricalDemand_Store2!$B5-AVERAGE(HistoricalDemand_Store2!$B$2:$B4))+AVERAGE(HistoricalDemand_Store2!$D$2:$D4)</f>
        <v>815.49499888821413</v>
      </c>
      <c r="D5">
        <f>$G$1*(HistoricalDemand_Store3!$C5-AVERAGE(HistoricalDemand_Store3!$C$2:$C4))+(1-$G$1)*(HistoricalDemand_Store3!$B5-AVERAGE(HistoricalDemand_Store3!$B$2:$B4))+AVERAGE(HistoricalDemand_Store3!$D$2:$D4)</f>
        <v>726.43954548823592</v>
      </c>
      <c r="F5" s="1"/>
      <c r="H5" s="22" t="s">
        <v>3</v>
      </c>
      <c r="I5">
        <f>(B5-HistoricalDemand_Store1!$D5)^2</f>
        <v>45.237833913784272</v>
      </c>
      <c r="J5">
        <f>(C5-HistoricalDemand_Store2!$D5)^2</f>
        <v>7141.095212902932</v>
      </c>
      <c r="K5">
        <f>(D5-HistoricalDemand_Store3!$D5)^2</f>
        <v>647.17047464802465</v>
      </c>
    </row>
    <row r="6" spans="1:13" x14ac:dyDescent="0.3">
      <c r="A6" s="22" t="s">
        <v>4</v>
      </c>
      <c r="B6">
        <f>$G$1*(HistoricalDemand_Store1!$C6-AVERAGE(HistoricalDemand_Store1!$C$2:$C5))+(1-$G$1)*(HistoricalDemand_Store1!$B6-AVERAGE(HistoricalDemand_Store1!$B$2:$B5))+AVERAGE(HistoricalDemand_Store1!$D$2:$D5)</f>
        <v>594.66557888696821</v>
      </c>
      <c r="C6">
        <f>$G$1*(HistoricalDemand_Store2!$C6-AVERAGE(HistoricalDemand_Store2!$C$2:$C5))+(1-$G$1)*(HistoricalDemand_Store2!$B6-AVERAGE(HistoricalDemand_Store2!$B$2:$B5))+AVERAGE(HistoricalDemand_Store2!$D$2:$D5)</f>
        <v>858.96397178960171</v>
      </c>
      <c r="D6">
        <f>$G$1*(HistoricalDemand_Store3!$C6-AVERAGE(HistoricalDemand_Store3!$C$2:$C5))+(1-$G$1)*(HistoricalDemand_Store3!$B6-AVERAGE(HistoricalDemand_Store3!$B$2:$B5))+AVERAGE(HistoricalDemand_Store3!$D$2:$D5)</f>
        <v>597.00284069852546</v>
      </c>
      <c r="F6" s="1"/>
      <c r="H6" s="22" t="s">
        <v>4</v>
      </c>
      <c r="I6">
        <f>(B6-HistoricalDemand_Store1!$D6)^2</f>
        <v>15960.385957964854</v>
      </c>
      <c r="J6">
        <f>(C6-HistoricalDemand_Store2!$D6)^2</f>
        <v>674.1278310912337</v>
      </c>
      <c r="K6">
        <f>(D6-HistoricalDemand_Store3!$D6)^2</f>
        <v>120.93751270200798</v>
      </c>
    </row>
    <row r="7" spans="1:13" x14ac:dyDescent="0.3">
      <c r="A7" s="22" t="s">
        <v>5</v>
      </c>
      <c r="B7">
        <f>$G$1*(HistoricalDemand_Store1!$C7-AVERAGE(HistoricalDemand_Store1!$C$2:$C6))+(1-$G$1)*(HistoricalDemand_Store1!$B7-AVERAGE(HistoricalDemand_Store1!$B$2:$B6))+AVERAGE(HistoricalDemand_Store1!$D$2:$D6)</f>
        <v>657.39473418601381</v>
      </c>
      <c r="C7">
        <f>$G$1*(HistoricalDemand_Store2!$C7-AVERAGE(HistoricalDemand_Store2!$C$2:$C6))+(1-$G$1)*(HistoricalDemand_Store2!$B7-AVERAGE(HistoricalDemand_Store2!$B$2:$B6))+AVERAGE(HistoricalDemand_Store2!$D$2:$D6)</f>
        <v>787.60753837280663</v>
      </c>
      <c r="D7">
        <f>$G$1*(HistoricalDemand_Store3!$C7-AVERAGE(HistoricalDemand_Store3!$C$2:$C6))+(1-$G$1)*(HistoricalDemand_Store3!$B7-AVERAGE(HistoricalDemand_Store3!$B$2:$B6))+AVERAGE(HistoricalDemand_Store3!$D$2:$D6)</f>
        <v>409.29045377057349</v>
      </c>
      <c r="F7" s="1"/>
    </row>
    <row r="8" spans="1:13" x14ac:dyDescent="0.3">
      <c r="A8" s="22" t="s">
        <v>6</v>
      </c>
      <c r="B8">
        <f>$G$1*(HistoricalDemand_Store1!$C8-AVERAGE(HistoricalDemand_Store1!$C$2:$C7))+(1-$G$1)*(HistoricalDemand_Store1!$B8-AVERAGE(HistoricalDemand_Store1!$B$2:$B7))+AVERAGE(HistoricalDemand_Store1!$D$2:$D7)</f>
        <v>695.2865215863967</v>
      </c>
      <c r="C8">
        <f>$G$1*(HistoricalDemand_Store2!$C8-AVERAGE(HistoricalDemand_Store2!$C$2:$C7))+(1-$G$1)*(HistoricalDemand_Store2!$B8-AVERAGE(HistoricalDemand_Store2!$B$2:$B7))+AVERAGE(HistoricalDemand_Store2!$D$2:$D7)</f>
        <v>637.6435549067545</v>
      </c>
      <c r="D8">
        <f>$G$1*(HistoricalDemand_Store3!$C8-AVERAGE(HistoricalDemand_Store3!$C$2:$C7))+(1-$G$1)*(HistoricalDemand_Store3!$B8-AVERAGE(HistoricalDemand_Store3!$B$2:$B7))+AVERAGE(HistoricalDemand_Store3!$D$2:$D7)</f>
        <v>353.63083154212285</v>
      </c>
      <c r="F8" s="1"/>
    </row>
    <row r="9" spans="1:13" x14ac:dyDescent="0.3">
      <c r="A9" s="22" t="s">
        <v>7</v>
      </c>
      <c r="B9">
        <f>$G$1*(HistoricalDemand_Store1!$C9-AVERAGE(HistoricalDemand_Store1!$C$2:$C8))+(1-$G$1)*(HistoricalDemand_Store1!$B9-AVERAGE(HistoricalDemand_Store1!$B$2:$B8))+AVERAGE(HistoricalDemand_Store1!$D$2:$D8)</f>
        <v>661.51266034029823</v>
      </c>
      <c r="C9">
        <f>$G$1*(HistoricalDemand_Store2!$C9-AVERAGE(HistoricalDemand_Store2!$C$2:$C8))+(1-$G$1)*(HistoricalDemand_Store2!$B9-AVERAGE(HistoricalDemand_Store2!$B$2:$B8))+AVERAGE(HistoricalDemand_Store2!$D$2:$D8)</f>
        <v>737.60493385207769</v>
      </c>
      <c r="D9">
        <f>$G$1*(HistoricalDemand_Store3!$C9-AVERAGE(HistoricalDemand_Store3!$C$2:$C8))+(1-$G$1)*(HistoricalDemand_Store3!$B9-AVERAGE(HistoricalDemand_Store3!$B$2:$B8))+AVERAGE(HistoricalDemand_Store3!$D$2:$D8)</f>
        <v>524.28656007314021</v>
      </c>
      <c r="F9" s="1"/>
    </row>
    <row r="10" spans="1:13" x14ac:dyDescent="0.3">
      <c r="A10" s="22" t="s">
        <v>8</v>
      </c>
      <c r="B10">
        <f>$G$1*(HistoricalDemand_Store1!$C10-AVERAGE(HistoricalDemand_Store1!$C$2:$C9))+(1-$G$1)*(HistoricalDemand_Store1!$B10-AVERAGE(HistoricalDemand_Store1!$B$2:$B9))+AVERAGE(HistoricalDemand_Store1!$D$2:$D9)</f>
        <v>852.85676530963383</v>
      </c>
      <c r="C10">
        <f>$G$1*(HistoricalDemand_Store2!$C10-AVERAGE(HistoricalDemand_Store2!$C$2:$C9))+(1-$G$1)*(HistoricalDemand_Store2!$B10-AVERAGE(HistoricalDemand_Store2!$B$2:$B9))+AVERAGE(HistoricalDemand_Store2!$D$2:$D9)</f>
        <v>904.55295284408533</v>
      </c>
      <c r="D10">
        <f>$G$1*(HistoricalDemand_Store3!$C10-AVERAGE(HistoricalDemand_Store3!$C$2:$C9))+(1-$G$1)*(HistoricalDemand_Store3!$B10-AVERAGE(HistoricalDemand_Store3!$B$2:$B9))+AVERAGE(HistoricalDemand_Store3!$D$2:$D9)</f>
        <v>741.5284667639869</v>
      </c>
      <c r="F10" s="1"/>
    </row>
    <row r="11" spans="1:13" x14ac:dyDescent="0.3">
      <c r="A11" s="22" t="s">
        <v>9</v>
      </c>
      <c r="B11">
        <f>$G$1*(HistoricalDemand_Store1!$C11-AVERAGE(HistoricalDemand_Store1!$C$2:$C10))+(1-$G$1)*(HistoricalDemand_Store1!$B11-AVERAGE(HistoricalDemand_Store1!$B$2:$B10))+AVERAGE(HistoricalDemand_Store1!$D$2:$D10)</f>
        <v>1275.9880774090857</v>
      </c>
      <c r="C11">
        <f>$G$1*(HistoricalDemand_Store2!$C11-AVERAGE(HistoricalDemand_Store2!$C$2:$C10))+(1-$G$1)*(HistoricalDemand_Store2!$B11-AVERAGE(HistoricalDemand_Store2!$B$2:$B10))+AVERAGE(HistoricalDemand_Store2!$D$2:$D10)</f>
        <v>1188.4983860993893</v>
      </c>
      <c r="D11">
        <f>$G$1*(HistoricalDemand_Store3!$C11-AVERAGE(HistoricalDemand_Store3!$C$2:$C10))+(1-$G$1)*(HistoricalDemand_Store3!$B11-AVERAGE(HistoricalDemand_Store3!$B$2:$B10))+AVERAGE(HistoricalDemand_Store3!$D$2:$D10)</f>
        <v>1023.9878813333817</v>
      </c>
      <c r="F11" s="1"/>
    </row>
  </sheetData>
  <phoneticPr fontId="1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5AD3-04BA-4891-B26E-224C23CE0A3F}">
  <dimension ref="A1:K8"/>
  <sheetViews>
    <sheetView workbookViewId="0">
      <selection activeCell="F14" sqref="F14"/>
    </sheetView>
  </sheetViews>
  <sheetFormatPr defaultRowHeight="14.4" x14ac:dyDescent="0.3"/>
  <cols>
    <col min="1" max="1" width="15.44140625" customWidth="1"/>
    <col min="2" max="2" width="10.109375" customWidth="1"/>
    <col min="3" max="3" width="10" customWidth="1"/>
  </cols>
  <sheetData>
    <row r="1" spans="1:11" x14ac:dyDescent="0.3">
      <c r="A1" s="21" t="s">
        <v>69</v>
      </c>
      <c r="B1" s="21" t="s">
        <v>15</v>
      </c>
      <c r="C1" s="21" t="s">
        <v>16</v>
      </c>
      <c r="D1" s="21" t="s">
        <v>17</v>
      </c>
      <c r="G1" s="21" t="s">
        <v>268</v>
      </c>
      <c r="K1" s="21" t="s">
        <v>11</v>
      </c>
    </row>
    <row r="2" spans="1:11" x14ac:dyDescent="0.3">
      <c r="A2" s="22" t="s">
        <v>0</v>
      </c>
      <c r="B2">
        <v>868.99999999999977</v>
      </c>
      <c r="C2">
        <v>716.53333333333319</v>
      </c>
      <c r="D2">
        <v>502.06666666666689</v>
      </c>
      <c r="F2" s="22" t="s">
        <v>0</v>
      </c>
      <c r="G2">
        <f>(B2-HistoricalDemand_Store1!$D2)^2</f>
        <v>2400.9999999999777</v>
      </c>
      <c r="H2">
        <f>(C2-HistoricalDemand_Store2!$D2)^2</f>
        <v>3418.3511111111279</v>
      </c>
      <c r="I2">
        <f>(D2-HistoricalDemand_Store3!$D2)^2</f>
        <v>4.4444444444742557E-3</v>
      </c>
      <c r="K2" s="2">
        <f>AVERAGE(G2:I6)</f>
        <v>1375.7303703703706</v>
      </c>
    </row>
    <row r="3" spans="1:11" x14ac:dyDescent="0.3">
      <c r="A3" s="22" t="s">
        <v>1</v>
      </c>
      <c r="B3">
        <v>983.66666666666652</v>
      </c>
      <c r="C3">
        <v>759.86666666666656</v>
      </c>
      <c r="D3">
        <v>547.4000000000002</v>
      </c>
      <c r="F3" s="22" t="s">
        <v>1</v>
      </c>
      <c r="G3">
        <f>(B3-HistoricalDemand_Store1!$D3)^2</f>
        <v>128.44444444444787</v>
      </c>
      <c r="H3">
        <f>(C3-HistoricalDemand_Store2!$D3)^2</f>
        <v>1691.9511111111199</v>
      </c>
      <c r="I3">
        <f>(D3-HistoricalDemand_Store3!$D3)^2</f>
        <v>134.55999999999526</v>
      </c>
    </row>
    <row r="4" spans="1:11" x14ac:dyDescent="0.3">
      <c r="A4" s="22" t="s">
        <v>2</v>
      </c>
      <c r="B4">
        <v>757.66666666666629</v>
      </c>
      <c r="C4">
        <v>946.20000000000016</v>
      </c>
      <c r="D4">
        <v>684.73333333333369</v>
      </c>
      <c r="F4" s="22" t="s">
        <v>2</v>
      </c>
      <c r="G4">
        <f>(B4-HistoricalDemand_Store1!$D4)^2</f>
        <v>1418.7777777777492</v>
      </c>
      <c r="H4">
        <f>(C4-HistoricalDemand_Store2!$D4)^2</f>
        <v>2621.4400000000164</v>
      </c>
      <c r="I4">
        <f>(D4-HistoricalDemand_Store3!$D4)^2</f>
        <v>68.33777777777189</v>
      </c>
    </row>
    <row r="5" spans="1:11" x14ac:dyDescent="0.3">
      <c r="A5" s="22" t="s">
        <v>3</v>
      </c>
      <c r="B5">
        <v>1032.333333333333</v>
      </c>
      <c r="C5">
        <v>826.19999999999982</v>
      </c>
      <c r="D5">
        <v>711.4000000000002</v>
      </c>
      <c r="F5" s="22" t="s">
        <v>3</v>
      </c>
      <c r="G5">
        <f>(B5-HistoricalDemand_Store1!$D5)^2</f>
        <v>498.77777777776424</v>
      </c>
      <c r="H5">
        <f>(C5-HistoricalDemand_Store2!$D5)^2</f>
        <v>5446.4400000000269</v>
      </c>
      <c r="I5">
        <f>(D5-HistoricalDemand_Store3!$D5)^2</f>
        <v>108.16000000000426</v>
      </c>
    </row>
    <row r="6" spans="1:11" x14ac:dyDescent="0.3">
      <c r="A6" s="22" t="s">
        <v>4</v>
      </c>
      <c r="B6">
        <v>674</v>
      </c>
      <c r="C6">
        <v>813.19999999999982</v>
      </c>
      <c r="D6">
        <v>598.06666666666695</v>
      </c>
      <c r="F6" s="22" t="s">
        <v>4</v>
      </c>
      <c r="G6">
        <f>(B6-HistoricalDemand_Store1!$D6)^2</f>
        <v>2209</v>
      </c>
      <c r="H6">
        <f>(C6-HistoricalDemand_Store2!$D6)^2</f>
        <v>392.04000000000718</v>
      </c>
      <c r="I6">
        <f>(D6-HistoricalDemand_Store3!$D6)^2</f>
        <v>98.671111111105546</v>
      </c>
    </row>
    <row r="8" spans="1:11" x14ac:dyDescent="0.3">
      <c r="B8" s="21" t="s">
        <v>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352F-3FB1-4894-A90D-7EBEEA7DB11A}">
  <dimension ref="B1:E91"/>
  <sheetViews>
    <sheetView workbookViewId="0">
      <selection activeCell="D4" sqref="D4"/>
    </sheetView>
  </sheetViews>
  <sheetFormatPr defaultRowHeight="14.4" x14ac:dyDescent="0.3"/>
  <cols>
    <col min="2" max="2" width="8.33203125" bestFit="1" customWidth="1"/>
    <col min="3" max="3" width="7.109375" bestFit="1" customWidth="1"/>
    <col min="4" max="4" width="10.44140625" bestFit="1" customWidth="1"/>
    <col min="5" max="5" width="11.77734375" bestFit="1" customWidth="1"/>
  </cols>
  <sheetData>
    <row r="1" spans="2:5" x14ac:dyDescent="0.3">
      <c r="B1" t="s">
        <v>22</v>
      </c>
      <c r="C1" t="s">
        <v>23</v>
      </c>
      <c r="D1" t="s">
        <v>24</v>
      </c>
      <c r="E1" t="s">
        <v>25</v>
      </c>
    </row>
    <row r="2" spans="2:5" x14ac:dyDescent="0.3">
      <c r="B2" t="s">
        <v>0</v>
      </c>
      <c r="C2" t="s">
        <v>19</v>
      </c>
      <c r="D2">
        <v>795</v>
      </c>
      <c r="E2" t="s">
        <v>27</v>
      </c>
    </row>
    <row r="3" spans="2:5" x14ac:dyDescent="0.3">
      <c r="B3" t="s">
        <v>0</v>
      </c>
      <c r="C3" t="s">
        <v>20</v>
      </c>
      <c r="D3">
        <v>567</v>
      </c>
      <c r="E3" t="s">
        <v>27</v>
      </c>
    </row>
    <row r="4" spans="2:5" x14ac:dyDescent="0.3">
      <c r="B4" t="s">
        <v>0</v>
      </c>
      <c r="C4" t="s">
        <v>21</v>
      </c>
      <c r="D4">
        <v>820</v>
      </c>
      <c r="E4" t="s">
        <v>27</v>
      </c>
    </row>
    <row r="5" spans="2:5" x14ac:dyDescent="0.3">
      <c r="B5" t="s">
        <v>1</v>
      </c>
      <c r="C5" t="s">
        <v>19</v>
      </c>
      <c r="D5">
        <v>899</v>
      </c>
      <c r="E5" t="s">
        <v>27</v>
      </c>
    </row>
    <row r="6" spans="2:5" x14ac:dyDescent="0.3">
      <c r="B6" t="s">
        <v>1</v>
      </c>
      <c r="C6" t="s">
        <v>20</v>
      </c>
      <c r="D6">
        <v>632</v>
      </c>
      <c r="E6" t="s">
        <v>27</v>
      </c>
    </row>
    <row r="7" spans="2:5" x14ac:dyDescent="0.3">
      <c r="B7" t="s">
        <v>1</v>
      </c>
      <c r="C7" t="s">
        <v>21</v>
      </c>
      <c r="D7">
        <v>995</v>
      </c>
      <c r="E7" t="s">
        <v>27</v>
      </c>
    </row>
    <row r="8" spans="2:5" x14ac:dyDescent="0.3">
      <c r="B8" t="s">
        <v>2</v>
      </c>
      <c r="C8" t="s">
        <v>19</v>
      </c>
      <c r="D8">
        <v>623</v>
      </c>
      <c r="E8" t="s">
        <v>27</v>
      </c>
    </row>
    <row r="9" spans="2:5" x14ac:dyDescent="0.3">
      <c r="B9" t="s">
        <v>2</v>
      </c>
      <c r="C9" t="s">
        <v>20</v>
      </c>
      <c r="D9">
        <v>505</v>
      </c>
      <c r="E9" t="s">
        <v>27</v>
      </c>
    </row>
    <row r="10" spans="2:5" x14ac:dyDescent="0.3">
      <c r="B10" t="s">
        <v>2</v>
      </c>
      <c r="C10" t="s">
        <v>21</v>
      </c>
      <c r="D10">
        <v>720</v>
      </c>
      <c r="E10" t="s">
        <v>27</v>
      </c>
    </row>
    <row r="11" spans="2:5" x14ac:dyDescent="0.3">
      <c r="B11" t="s">
        <v>3</v>
      </c>
      <c r="C11" t="s">
        <v>19</v>
      </c>
      <c r="D11">
        <v>912</v>
      </c>
      <c r="E11" t="s">
        <v>27</v>
      </c>
    </row>
    <row r="12" spans="2:5" x14ac:dyDescent="0.3">
      <c r="B12" t="s">
        <v>3</v>
      </c>
      <c r="C12" t="s">
        <v>20</v>
      </c>
      <c r="D12">
        <v>750</v>
      </c>
      <c r="E12" t="s">
        <v>27</v>
      </c>
    </row>
    <row r="13" spans="2:5" x14ac:dyDescent="0.3">
      <c r="B13" t="s">
        <v>3</v>
      </c>
      <c r="C13" t="s">
        <v>21</v>
      </c>
      <c r="D13">
        <v>1010</v>
      </c>
      <c r="E13" t="s">
        <v>27</v>
      </c>
    </row>
    <row r="14" spans="2:5" x14ac:dyDescent="0.3">
      <c r="B14" t="s">
        <v>4</v>
      </c>
      <c r="C14" t="s">
        <v>19</v>
      </c>
      <c r="D14">
        <v>376</v>
      </c>
      <c r="E14" t="s">
        <v>27</v>
      </c>
    </row>
    <row r="15" spans="2:5" x14ac:dyDescent="0.3">
      <c r="B15" t="s">
        <v>4</v>
      </c>
      <c r="C15" t="s">
        <v>20</v>
      </c>
      <c r="D15">
        <v>500</v>
      </c>
      <c r="E15" t="s">
        <v>27</v>
      </c>
    </row>
    <row r="16" spans="2:5" x14ac:dyDescent="0.3">
      <c r="B16" t="s">
        <v>4</v>
      </c>
      <c r="C16" t="s">
        <v>21</v>
      </c>
      <c r="D16">
        <v>721</v>
      </c>
      <c r="E16" t="s">
        <v>27</v>
      </c>
    </row>
    <row r="17" spans="2:5" x14ac:dyDescent="0.3">
      <c r="B17" t="s">
        <v>5</v>
      </c>
      <c r="C17" t="s">
        <v>19</v>
      </c>
      <c r="D17">
        <v>435</v>
      </c>
      <c r="E17" t="s">
        <v>27</v>
      </c>
    </row>
    <row r="18" spans="2:5" x14ac:dyDescent="0.3">
      <c r="B18" t="s">
        <v>5</v>
      </c>
      <c r="C18" t="s">
        <v>20</v>
      </c>
      <c r="D18">
        <v>510</v>
      </c>
      <c r="E18" t="s">
        <v>27</v>
      </c>
    </row>
    <row r="19" spans="2:5" x14ac:dyDescent="0.3">
      <c r="B19" t="s">
        <v>5</v>
      </c>
      <c r="C19" t="s">
        <v>21</v>
      </c>
      <c r="D19">
        <v>712</v>
      </c>
      <c r="E19" t="s">
        <v>27</v>
      </c>
    </row>
    <row r="20" spans="2:5" x14ac:dyDescent="0.3">
      <c r="B20" t="s">
        <v>6</v>
      </c>
      <c r="C20" t="s">
        <v>19</v>
      </c>
      <c r="D20">
        <v>455</v>
      </c>
      <c r="E20" t="s">
        <v>27</v>
      </c>
    </row>
    <row r="21" spans="2:5" x14ac:dyDescent="0.3">
      <c r="B21" t="s">
        <v>6</v>
      </c>
      <c r="C21" t="s">
        <v>20</v>
      </c>
      <c r="D21">
        <v>550</v>
      </c>
      <c r="E21" t="s">
        <v>27</v>
      </c>
    </row>
    <row r="22" spans="2:5" x14ac:dyDescent="0.3">
      <c r="B22" t="s">
        <v>6</v>
      </c>
      <c r="C22" t="s">
        <v>21</v>
      </c>
      <c r="D22">
        <v>760</v>
      </c>
      <c r="E22" t="s">
        <v>27</v>
      </c>
    </row>
    <row r="23" spans="2:5" x14ac:dyDescent="0.3">
      <c r="B23" t="s">
        <v>7</v>
      </c>
      <c r="C23" t="s">
        <v>19</v>
      </c>
      <c r="D23">
        <v>510</v>
      </c>
      <c r="E23" t="s">
        <v>27</v>
      </c>
    </row>
    <row r="24" spans="2:5" x14ac:dyDescent="0.3">
      <c r="B24" t="s">
        <v>7</v>
      </c>
      <c r="C24" t="s">
        <v>20</v>
      </c>
      <c r="D24">
        <v>382</v>
      </c>
      <c r="E24" t="s">
        <v>27</v>
      </c>
    </row>
    <row r="25" spans="2:5" x14ac:dyDescent="0.3">
      <c r="B25" t="s">
        <v>7</v>
      </c>
      <c r="C25" t="s">
        <v>21</v>
      </c>
      <c r="D25">
        <v>622</v>
      </c>
      <c r="E25" t="s">
        <v>27</v>
      </c>
    </row>
    <row r="26" spans="2:5" x14ac:dyDescent="0.3">
      <c r="B26" t="s">
        <v>8</v>
      </c>
      <c r="C26" t="s">
        <v>19</v>
      </c>
      <c r="D26">
        <v>632</v>
      </c>
      <c r="E26" t="s">
        <v>27</v>
      </c>
    </row>
    <row r="27" spans="2:5" x14ac:dyDescent="0.3">
      <c r="B27" t="s">
        <v>8</v>
      </c>
      <c r="C27" t="s">
        <v>20</v>
      </c>
      <c r="D27">
        <v>673</v>
      </c>
      <c r="E27" t="s">
        <v>27</v>
      </c>
    </row>
    <row r="28" spans="2:5" x14ac:dyDescent="0.3">
      <c r="B28" t="s">
        <v>8</v>
      </c>
      <c r="C28" t="s">
        <v>21</v>
      </c>
      <c r="D28">
        <v>810</v>
      </c>
      <c r="E28" t="s">
        <v>27</v>
      </c>
    </row>
    <row r="29" spans="2:5" x14ac:dyDescent="0.3">
      <c r="B29" t="s">
        <v>9</v>
      </c>
      <c r="C29" t="s">
        <v>19</v>
      </c>
      <c r="D29">
        <v>1150</v>
      </c>
      <c r="E29" t="s">
        <v>27</v>
      </c>
    </row>
    <row r="30" spans="2:5" x14ac:dyDescent="0.3">
      <c r="B30" t="s">
        <v>9</v>
      </c>
      <c r="C30" t="s">
        <v>20</v>
      </c>
      <c r="D30">
        <v>986</v>
      </c>
      <c r="E30" t="s">
        <v>27</v>
      </c>
    </row>
    <row r="31" spans="2:5" x14ac:dyDescent="0.3">
      <c r="B31" t="s">
        <v>9</v>
      </c>
      <c r="C31" t="s">
        <v>21</v>
      </c>
      <c r="D31">
        <v>1376</v>
      </c>
      <c r="E31" t="s">
        <v>27</v>
      </c>
    </row>
    <row r="32" spans="2:5" x14ac:dyDescent="0.3">
      <c r="B32" t="s">
        <v>0</v>
      </c>
      <c r="C32" t="s">
        <v>19</v>
      </c>
      <c r="D32">
        <v>656</v>
      </c>
      <c r="E32" t="s">
        <v>28</v>
      </c>
    </row>
    <row r="33" spans="2:5" x14ac:dyDescent="0.3">
      <c r="B33" t="s">
        <v>0</v>
      </c>
      <c r="C33" t="s">
        <v>20</v>
      </c>
      <c r="D33">
        <v>820</v>
      </c>
      <c r="E33" t="s">
        <v>28</v>
      </c>
    </row>
    <row r="34" spans="2:5" x14ac:dyDescent="0.3">
      <c r="B34" t="s">
        <v>0</v>
      </c>
      <c r="C34" t="s">
        <v>21</v>
      </c>
      <c r="D34">
        <v>775</v>
      </c>
      <c r="E34" t="s">
        <v>28</v>
      </c>
    </row>
    <row r="35" spans="2:5" x14ac:dyDescent="0.3">
      <c r="B35" t="s">
        <v>1</v>
      </c>
      <c r="C35" t="s">
        <v>19</v>
      </c>
      <c r="D35">
        <v>710</v>
      </c>
      <c r="E35" t="s">
        <v>28</v>
      </c>
    </row>
    <row r="36" spans="2:5" x14ac:dyDescent="0.3">
      <c r="B36" t="s">
        <v>1</v>
      </c>
      <c r="C36" t="s">
        <v>20</v>
      </c>
      <c r="D36">
        <v>870</v>
      </c>
      <c r="E36" t="s">
        <v>28</v>
      </c>
    </row>
    <row r="37" spans="2:5" x14ac:dyDescent="0.3">
      <c r="B37" t="s">
        <v>1</v>
      </c>
      <c r="C37" t="s">
        <v>21</v>
      </c>
      <c r="D37">
        <v>801</v>
      </c>
      <c r="E37" t="s">
        <v>28</v>
      </c>
    </row>
    <row r="38" spans="2:5" x14ac:dyDescent="0.3">
      <c r="B38" t="s">
        <v>2</v>
      </c>
      <c r="C38" t="s">
        <v>19</v>
      </c>
      <c r="D38">
        <v>895</v>
      </c>
      <c r="E38" t="s">
        <v>28</v>
      </c>
    </row>
    <row r="39" spans="2:5" x14ac:dyDescent="0.3">
      <c r="B39" t="s">
        <v>2</v>
      </c>
      <c r="C39" t="s">
        <v>20</v>
      </c>
      <c r="D39">
        <v>1150</v>
      </c>
      <c r="E39" t="s">
        <v>28</v>
      </c>
    </row>
    <row r="40" spans="2:5" x14ac:dyDescent="0.3">
      <c r="B40" t="s">
        <v>2</v>
      </c>
      <c r="C40" t="s">
        <v>21</v>
      </c>
      <c r="D40">
        <v>895</v>
      </c>
      <c r="E40" t="s">
        <v>28</v>
      </c>
    </row>
    <row r="41" spans="2:5" x14ac:dyDescent="0.3">
      <c r="B41" t="s">
        <v>3</v>
      </c>
      <c r="C41" t="s">
        <v>19</v>
      </c>
      <c r="D41">
        <v>760</v>
      </c>
      <c r="E41" t="s">
        <v>28</v>
      </c>
    </row>
    <row r="42" spans="2:5" x14ac:dyDescent="0.3">
      <c r="B42" t="s">
        <v>3</v>
      </c>
      <c r="C42" t="s">
        <v>20</v>
      </c>
      <c r="D42">
        <v>920</v>
      </c>
      <c r="E42" t="s">
        <v>28</v>
      </c>
    </row>
    <row r="43" spans="2:5" x14ac:dyDescent="0.3">
      <c r="B43" t="s">
        <v>3</v>
      </c>
      <c r="C43" t="s">
        <v>21</v>
      </c>
      <c r="D43">
        <v>900</v>
      </c>
      <c r="E43" t="s">
        <v>28</v>
      </c>
    </row>
    <row r="44" spans="2:5" x14ac:dyDescent="0.3">
      <c r="B44" t="s">
        <v>4</v>
      </c>
      <c r="C44" t="s">
        <v>19</v>
      </c>
      <c r="D44">
        <v>843</v>
      </c>
      <c r="E44" t="s">
        <v>28</v>
      </c>
    </row>
    <row r="45" spans="2:5" x14ac:dyDescent="0.3">
      <c r="B45" t="s">
        <v>4</v>
      </c>
      <c r="C45" t="s">
        <v>20</v>
      </c>
      <c r="D45">
        <v>865</v>
      </c>
      <c r="E45" t="s">
        <v>28</v>
      </c>
    </row>
    <row r="46" spans="2:5" x14ac:dyDescent="0.3">
      <c r="B46" t="s">
        <v>4</v>
      </c>
      <c r="C46" t="s">
        <v>21</v>
      </c>
      <c r="D46">
        <v>833</v>
      </c>
      <c r="E46" t="s">
        <v>28</v>
      </c>
    </row>
    <row r="47" spans="2:5" x14ac:dyDescent="0.3">
      <c r="B47" t="s">
        <v>5</v>
      </c>
      <c r="C47" t="s">
        <v>19</v>
      </c>
      <c r="D47">
        <v>812</v>
      </c>
      <c r="E47" t="s">
        <v>28</v>
      </c>
    </row>
    <row r="48" spans="2:5" x14ac:dyDescent="0.3">
      <c r="B48" t="s">
        <v>5</v>
      </c>
      <c r="C48" t="s">
        <v>20</v>
      </c>
      <c r="D48">
        <v>754</v>
      </c>
      <c r="E48" t="s">
        <v>28</v>
      </c>
    </row>
    <row r="49" spans="2:5" x14ac:dyDescent="0.3">
      <c r="B49" t="s">
        <v>5</v>
      </c>
      <c r="C49" t="s">
        <v>21</v>
      </c>
      <c r="D49">
        <v>700</v>
      </c>
      <c r="E49" t="s">
        <v>28</v>
      </c>
    </row>
    <row r="50" spans="2:5" x14ac:dyDescent="0.3">
      <c r="B50" t="s">
        <v>6</v>
      </c>
      <c r="C50" t="s">
        <v>19</v>
      </c>
      <c r="D50">
        <v>674</v>
      </c>
      <c r="E50" t="s">
        <v>28</v>
      </c>
    </row>
    <row r="51" spans="2:5" x14ac:dyDescent="0.3">
      <c r="B51" t="s">
        <v>6</v>
      </c>
      <c r="C51" t="s">
        <v>20</v>
      </c>
      <c r="D51">
        <v>622</v>
      </c>
      <c r="E51" t="s">
        <v>28</v>
      </c>
    </row>
    <row r="52" spans="2:5" x14ac:dyDescent="0.3">
      <c r="B52" t="s">
        <v>6</v>
      </c>
      <c r="C52" t="s">
        <v>21</v>
      </c>
      <c r="D52">
        <v>596</v>
      </c>
      <c r="E52" t="s">
        <v>28</v>
      </c>
    </row>
    <row r="53" spans="2:5" x14ac:dyDescent="0.3">
      <c r="B53" t="s">
        <v>7</v>
      </c>
      <c r="C53" t="s">
        <v>19</v>
      </c>
      <c r="D53">
        <v>732</v>
      </c>
      <c r="E53" t="s">
        <v>28</v>
      </c>
    </row>
    <row r="54" spans="2:5" x14ac:dyDescent="0.3">
      <c r="B54" t="s">
        <v>7</v>
      </c>
      <c r="C54" t="s">
        <v>20</v>
      </c>
      <c r="D54">
        <v>789</v>
      </c>
      <c r="E54" t="s">
        <v>28</v>
      </c>
    </row>
    <row r="55" spans="2:5" x14ac:dyDescent="0.3">
      <c r="B55" t="s">
        <v>7</v>
      </c>
      <c r="C55" t="s">
        <v>21</v>
      </c>
      <c r="D55">
        <v>700</v>
      </c>
      <c r="E55" t="s">
        <v>28</v>
      </c>
    </row>
    <row r="56" spans="2:5" x14ac:dyDescent="0.3">
      <c r="B56" t="s">
        <v>8</v>
      </c>
      <c r="C56" t="s">
        <v>19</v>
      </c>
      <c r="D56">
        <v>912</v>
      </c>
      <c r="E56" t="s">
        <v>28</v>
      </c>
    </row>
    <row r="57" spans="2:5" x14ac:dyDescent="0.3">
      <c r="B57" t="s">
        <v>8</v>
      </c>
      <c r="C57" t="s">
        <v>20</v>
      </c>
      <c r="D57">
        <v>950</v>
      </c>
      <c r="E57" t="s">
        <v>28</v>
      </c>
    </row>
    <row r="58" spans="2:5" x14ac:dyDescent="0.3">
      <c r="B58" t="s">
        <v>8</v>
      </c>
      <c r="C58" t="s">
        <v>21</v>
      </c>
      <c r="D58">
        <v>875</v>
      </c>
      <c r="E58" t="s">
        <v>28</v>
      </c>
    </row>
    <row r="59" spans="2:5" x14ac:dyDescent="0.3">
      <c r="B59" t="s">
        <v>9</v>
      </c>
      <c r="C59" t="s">
        <v>19</v>
      </c>
      <c r="D59">
        <v>1150</v>
      </c>
      <c r="E59" t="s">
        <v>28</v>
      </c>
    </row>
    <row r="60" spans="2:5" x14ac:dyDescent="0.3">
      <c r="B60" t="s">
        <v>9</v>
      </c>
      <c r="C60" t="s">
        <v>20</v>
      </c>
      <c r="D60">
        <v>1300</v>
      </c>
      <c r="E60" t="s">
        <v>28</v>
      </c>
    </row>
    <row r="61" spans="2:5" x14ac:dyDescent="0.3">
      <c r="B61" t="s">
        <v>9</v>
      </c>
      <c r="C61" t="s">
        <v>21</v>
      </c>
      <c r="D61">
        <v>1010</v>
      </c>
      <c r="E61" t="s">
        <v>28</v>
      </c>
    </row>
    <row r="62" spans="2:5" x14ac:dyDescent="0.3">
      <c r="B62" t="s">
        <v>0</v>
      </c>
      <c r="C62" t="s">
        <v>19</v>
      </c>
      <c r="D62">
        <v>512</v>
      </c>
      <c r="E62" t="s">
        <v>26</v>
      </c>
    </row>
    <row r="63" spans="2:5" x14ac:dyDescent="0.3">
      <c r="B63" t="s">
        <v>0</v>
      </c>
      <c r="C63" t="s">
        <v>20</v>
      </c>
      <c r="D63">
        <v>550</v>
      </c>
      <c r="E63" t="s">
        <v>26</v>
      </c>
    </row>
    <row r="64" spans="2:5" x14ac:dyDescent="0.3">
      <c r="B64" t="s">
        <v>0</v>
      </c>
      <c r="C64" t="s">
        <v>21</v>
      </c>
      <c r="D64">
        <v>502</v>
      </c>
      <c r="E64" t="s">
        <v>26</v>
      </c>
    </row>
    <row r="65" spans="2:5" x14ac:dyDescent="0.3">
      <c r="B65" t="s">
        <v>1</v>
      </c>
      <c r="C65" t="s">
        <v>19</v>
      </c>
      <c r="D65">
        <v>562</v>
      </c>
      <c r="E65" t="s">
        <v>26</v>
      </c>
    </row>
    <row r="66" spans="2:5" x14ac:dyDescent="0.3">
      <c r="B66" t="s">
        <v>1</v>
      </c>
      <c r="C66" t="s">
        <v>20</v>
      </c>
      <c r="D66">
        <v>579</v>
      </c>
      <c r="E66" t="s">
        <v>26</v>
      </c>
    </row>
    <row r="67" spans="2:5" x14ac:dyDescent="0.3">
      <c r="B67" t="s">
        <v>1</v>
      </c>
      <c r="C67" t="s">
        <v>21</v>
      </c>
      <c r="D67">
        <v>559</v>
      </c>
      <c r="E67" t="s">
        <v>26</v>
      </c>
    </row>
    <row r="68" spans="2:5" x14ac:dyDescent="0.3">
      <c r="B68" t="s">
        <v>2</v>
      </c>
      <c r="C68" t="s">
        <v>19</v>
      </c>
      <c r="D68">
        <v>698</v>
      </c>
      <c r="E68" t="s">
        <v>26</v>
      </c>
    </row>
    <row r="69" spans="2:5" x14ac:dyDescent="0.3">
      <c r="B69" t="s">
        <v>2</v>
      </c>
      <c r="C69" t="s">
        <v>20</v>
      </c>
      <c r="D69">
        <v>721</v>
      </c>
      <c r="E69" t="s">
        <v>26</v>
      </c>
    </row>
    <row r="70" spans="2:5" x14ac:dyDescent="0.3">
      <c r="B70" t="s">
        <v>2</v>
      </c>
      <c r="C70" t="s">
        <v>21</v>
      </c>
      <c r="D70">
        <v>693</v>
      </c>
      <c r="E70" t="s">
        <v>26</v>
      </c>
    </row>
    <row r="71" spans="2:5" x14ac:dyDescent="0.3">
      <c r="B71" t="s">
        <v>3</v>
      </c>
      <c r="C71" t="s">
        <v>19</v>
      </c>
      <c r="D71">
        <v>732</v>
      </c>
      <c r="E71" t="s">
        <v>26</v>
      </c>
    </row>
    <row r="72" spans="2:5" x14ac:dyDescent="0.3">
      <c r="B72" t="s">
        <v>3</v>
      </c>
      <c r="C72" t="s">
        <v>20</v>
      </c>
      <c r="D72">
        <v>759</v>
      </c>
      <c r="E72" t="s">
        <v>26</v>
      </c>
    </row>
    <row r="73" spans="2:5" x14ac:dyDescent="0.3">
      <c r="B73" t="s">
        <v>3</v>
      </c>
      <c r="C73" t="s">
        <v>21</v>
      </c>
      <c r="D73">
        <v>701</v>
      </c>
      <c r="E73" t="s">
        <v>26</v>
      </c>
    </row>
    <row r="74" spans="2:5" x14ac:dyDescent="0.3">
      <c r="B74" t="s">
        <v>4</v>
      </c>
      <c r="C74" t="s">
        <v>19</v>
      </c>
      <c r="D74">
        <v>612</v>
      </c>
      <c r="E74" t="s">
        <v>26</v>
      </c>
    </row>
    <row r="75" spans="2:5" x14ac:dyDescent="0.3">
      <c r="B75" t="s">
        <v>4</v>
      </c>
      <c r="C75" t="s">
        <v>20</v>
      </c>
      <c r="D75">
        <v>632</v>
      </c>
      <c r="E75" t="s">
        <v>26</v>
      </c>
    </row>
    <row r="76" spans="2:5" x14ac:dyDescent="0.3">
      <c r="B76" t="s">
        <v>4</v>
      </c>
      <c r="C76" t="s">
        <v>21</v>
      </c>
      <c r="D76">
        <v>608</v>
      </c>
      <c r="E76" t="s">
        <v>26</v>
      </c>
    </row>
    <row r="77" spans="2:5" x14ac:dyDescent="0.3">
      <c r="B77" t="s">
        <v>5</v>
      </c>
      <c r="C77" t="s">
        <v>19</v>
      </c>
      <c r="D77">
        <v>430</v>
      </c>
      <c r="E77" t="s">
        <v>26</v>
      </c>
    </row>
    <row r="78" spans="2:5" x14ac:dyDescent="0.3">
      <c r="B78" t="s">
        <v>5</v>
      </c>
      <c r="C78" t="s">
        <v>20</v>
      </c>
      <c r="D78">
        <v>432</v>
      </c>
      <c r="E78" t="s">
        <v>26</v>
      </c>
    </row>
    <row r="79" spans="2:5" x14ac:dyDescent="0.3">
      <c r="B79" t="s">
        <v>5</v>
      </c>
      <c r="C79" t="s">
        <v>21</v>
      </c>
      <c r="D79">
        <v>411</v>
      </c>
      <c r="E79" t="s">
        <v>26</v>
      </c>
    </row>
    <row r="80" spans="2:5" x14ac:dyDescent="0.3">
      <c r="B80" t="s">
        <v>6</v>
      </c>
      <c r="C80" t="s">
        <v>19</v>
      </c>
      <c r="D80">
        <v>389</v>
      </c>
      <c r="E80" t="s">
        <v>26</v>
      </c>
    </row>
    <row r="81" spans="2:5" x14ac:dyDescent="0.3">
      <c r="B81" t="s">
        <v>6</v>
      </c>
      <c r="C81" t="s">
        <v>20</v>
      </c>
      <c r="D81">
        <v>357</v>
      </c>
      <c r="E81" t="s">
        <v>26</v>
      </c>
    </row>
    <row r="82" spans="2:5" x14ac:dyDescent="0.3">
      <c r="B82" t="s">
        <v>6</v>
      </c>
      <c r="C82" t="s">
        <v>21</v>
      </c>
      <c r="D82">
        <v>321</v>
      </c>
      <c r="E82" t="s">
        <v>26</v>
      </c>
    </row>
    <row r="83" spans="2:5" x14ac:dyDescent="0.3">
      <c r="B83" t="s">
        <v>7</v>
      </c>
      <c r="C83" t="s">
        <v>19</v>
      </c>
      <c r="D83">
        <v>523</v>
      </c>
      <c r="E83" t="s">
        <v>26</v>
      </c>
    </row>
    <row r="84" spans="2:5" x14ac:dyDescent="0.3">
      <c r="B84" t="s">
        <v>7</v>
      </c>
      <c r="C84" t="s">
        <v>20</v>
      </c>
      <c r="D84">
        <v>585</v>
      </c>
      <c r="E84" t="s">
        <v>26</v>
      </c>
    </row>
    <row r="85" spans="2:5" x14ac:dyDescent="0.3">
      <c r="B85" t="s">
        <v>7</v>
      </c>
      <c r="C85" t="s">
        <v>21</v>
      </c>
      <c r="D85">
        <v>546</v>
      </c>
      <c r="E85" t="s">
        <v>26</v>
      </c>
    </row>
    <row r="86" spans="2:5" x14ac:dyDescent="0.3">
      <c r="B86" t="s">
        <v>8</v>
      </c>
      <c r="C86" t="s">
        <v>19</v>
      </c>
      <c r="D86">
        <v>745</v>
      </c>
      <c r="E86" t="s">
        <v>26</v>
      </c>
    </row>
    <row r="87" spans="2:5" x14ac:dyDescent="0.3">
      <c r="B87" t="s">
        <v>8</v>
      </c>
      <c r="C87" t="s">
        <v>20</v>
      </c>
      <c r="D87">
        <v>790</v>
      </c>
      <c r="E87" t="s">
        <v>26</v>
      </c>
    </row>
    <row r="88" spans="2:5" x14ac:dyDescent="0.3">
      <c r="B88" t="s">
        <v>8</v>
      </c>
      <c r="C88" t="s">
        <v>21</v>
      </c>
      <c r="D88">
        <v>761</v>
      </c>
      <c r="E88" t="s">
        <v>26</v>
      </c>
    </row>
    <row r="89" spans="2:5" x14ac:dyDescent="0.3">
      <c r="B89" t="s">
        <v>9</v>
      </c>
      <c r="C89" t="s">
        <v>19</v>
      </c>
      <c r="D89">
        <v>1002</v>
      </c>
      <c r="E89" t="s">
        <v>26</v>
      </c>
    </row>
    <row r="90" spans="2:5" x14ac:dyDescent="0.3">
      <c r="B90" t="s">
        <v>9</v>
      </c>
      <c r="C90" t="s">
        <v>20</v>
      </c>
      <c r="D90">
        <v>1100</v>
      </c>
      <c r="E90" t="s">
        <v>26</v>
      </c>
    </row>
    <row r="91" spans="2:5" x14ac:dyDescent="0.3">
      <c r="B91" t="s">
        <v>9</v>
      </c>
      <c r="C91" t="s">
        <v>21</v>
      </c>
      <c r="D91">
        <v>964</v>
      </c>
      <c r="E91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EF8F-A235-480E-9350-F1059E6AB985}">
  <dimension ref="A1:K6"/>
  <sheetViews>
    <sheetView workbookViewId="0">
      <selection activeCell="J13" sqref="J13"/>
    </sheetView>
  </sheetViews>
  <sheetFormatPr defaultRowHeight="14.4" x14ac:dyDescent="0.3"/>
  <cols>
    <col min="1" max="1" width="11.109375" customWidth="1"/>
    <col min="2" max="2" width="10.109375" customWidth="1"/>
  </cols>
  <sheetData>
    <row r="1" spans="1:11" x14ac:dyDescent="0.3">
      <c r="A1" s="21" t="s">
        <v>68</v>
      </c>
      <c r="B1" s="21" t="s">
        <v>15</v>
      </c>
      <c r="C1" s="21" t="s">
        <v>16</v>
      </c>
      <c r="D1" s="21" t="s">
        <v>17</v>
      </c>
      <c r="G1" s="21" t="s">
        <v>268</v>
      </c>
      <c r="K1" s="21" t="s">
        <v>11</v>
      </c>
    </row>
    <row r="2" spans="1:11" x14ac:dyDescent="0.3">
      <c r="A2" s="22" t="s">
        <v>0</v>
      </c>
      <c r="B2">
        <f>HistoricalDemand_Store1!$C2</f>
        <v>567</v>
      </c>
      <c r="C2">
        <f>HistoricalDemand_Store2!$C2</f>
        <v>820</v>
      </c>
      <c r="D2">
        <f>HistoricalDemand_Store3!$C2</f>
        <v>550</v>
      </c>
      <c r="F2" s="22" t="s">
        <v>0</v>
      </c>
      <c r="G2">
        <f>(B2-HistoricalDemand_Store1!$D2)^2</f>
        <v>64009</v>
      </c>
      <c r="H2">
        <f>(C2-HistoricalDemand_Store2!$D2)^2</f>
        <v>2025</v>
      </c>
      <c r="I2">
        <f>(D2-HistoricalDemand_Store3!$D2)^2</f>
        <v>2304</v>
      </c>
      <c r="K2" s="2">
        <f>AVERAGE(G2:I6)</f>
        <v>29273.8</v>
      </c>
    </row>
    <row r="3" spans="1:11" x14ac:dyDescent="0.3">
      <c r="A3" s="22" t="s">
        <v>1</v>
      </c>
      <c r="B3">
        <f>HistoricalDemand_Store1!$C3</f>
        <v>632</v>
      </c>
      <c r="C3">
        <f>HistoricalDemand_Store2!$C3</f>
        <v>870</v>
      </c>
      <c r="D3">
        <f>HistoricalDemand_Store3!$C3</f>
        <v>579</v>
      </c>
      <c r="F3" s="22" t="s">
        <v>1</v>
      </c>
      <c r="G3">
        <f>(B3-HistoricalDemand_Store1!$D3)^2</f>
        <v>131769</v>
      </c>
      <c r="H3">
        <f>(C3-HistoricalDemand_Store2!$D3)^2</f>
        <v>4761</v>
      </c>
      <c r="I3">
        <f>(D3-HistoricalDemand_Store3!$D3)^2</f>
        <v>400</v>
      </c>
    </row>
    <row r="4" spans="1:11" x14ac:dyDescent="0.3">
      <c r="A4" s="22" t="s">
        <v>2</v>
      </c>
      <c r="B4">
        <f>HistoricalDemand_Store1!$C4</f>
        <v>505</v>
      </c>
      <c r="C4">
        <f>HistoricalDemand_Store2!$C4</f>
        <v>1150</v>
      </c>
      <c r="D4">
        <f>HistoricalDemand_Store3!$C4</f>
        <v>721</v>
      </c>
      <c r="F4" s="22" t="s">
        <v>2</v>
      </c>
      <c r="G4">
        <f>(B4-HistoricalDemand_Store1!$D4)^2</f>
        <v>46225</v>
      </c>
      <c r="H4">
        <f>(C4-HistoricalDemand_Store2!$D4)^2</f>
        <v>65025</v>
      </c>
      <c r="I4">
        <f>(D4-HistoricalDemand_Store3!$D4)^2</f>
        <v>784</v>
      </c>
    </row>
    <row r="5" spans="1:11" x14ac:dyDescent="0.3">
      <c r="A5" s="22" t="s">
        <v>3</v>
      </c>
      <c r="B5">
        <f>HistoricalDemand_Store1!$C5</f>
        <v>750</v>
      </c>
      <c r="C5">
        <f>HistoricalDemand_Store2!$C5</f>
        <v>920</v>
      </c>
      <c r="D5">
        <f>HistoricalDemand_Store3!$C5</f>
        <v>759</v>
      </c>
      <c r="F5" s="22" t="s">
        <v>3</v>
      </c>
      <c r="G5">
        <f>(B5-HistoricalDemand_Store1!$D5)^2</f>
        <v>67600</v>
      </c>
      <c r="H5">
        <f>(C5-HistoricalDemand_Store2!$D5)^2</f>
        <v>400</v>
      </c>
      <c r="I5">
        <f>(D5-HistoricalDemand_Store3!$D5)^2</f>
        <v>3364</v>
      </c>
    </row>
    <row r="6" spans="1:11" x14ac:dyDescent="0.3">
      <c r="A6" s="22" t="s">
        <v>4</v>
      </c>
      <c r="B6">
        <f>HistoricalDemand_Store1!$C6</f>
        <v>500</v>
      </c>
      <c r="C6">
        <f>HistoricalDemand_Store2!$C6</f>
        <v>865</v>
      </c>
      <c r="D6">
        <f>HistoricalDemand_Store3!$C6</f>
        <v>632</v>
      </c>
      <c r="F6" s="22" t="s">
        <v>4</v>
      </c>
      <c r="G6">
        <f>(B6-HistoricalDemand_Store1!$D6)^2</f>
        <v>48841</v>
      </c>
      <c r="H6">
        <f>(C6-HistoricalDemand_Store2!$D6)^2</f>
        <v>1024</v>
      </c>
      <c r="I6">
        <f>(D6-HistoricalDemand_Store3!$D6)^2</f>
        <v>576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C2EAB-8161-40FE-A6DF-2596C22E812A}">
  <dimension ref="A1:Z46"/>
  <sheetViews>
    <sheetView topLeftCell="F1" workbookViewId="0">
      <selection activeCell="O47" sqref="O47"/>
    </sheetView>
  </sheetViews>
  <sheetFormatPr defaultRowHeight="14.4" x14ac:dyDescent="0.3"/>
  <cols>
    <col min="1" max="1" width="14.109375" customWidth="1"/>
    <col min="2" max="2" width="10" customWidth="1"/>
    <col min="3" max="3" width="9.88671875" customWidth="1"/>
    <col min="4" max="4" width="11.6640625" customWidth="1"/>
    <col min="6" max="6" width="10.33203125" customWidth="1"/>
    <col min="7" max="7" width="9.77734375" customWidth="1"/>
    <col min="8" max="8" width="12.44140625" customWidth="1"/>
    <col min="17" max="17" width="14.6640625" customWidth="1"/>
  </cols>
  <sheetData>
    <row r="1" spans="1:26" x14ac:dyDescent="0.3">
      <c r="A1" s="34"/>
      <c r="B1" s="35" t="s">
        <v>71</v>
      </c>
      <c r="C1" s="32"/>
      <c r="D1" s="33"/>
      <c r="E1" s="34"/>
      <c r="F1" s="31" t="s">
        <v>72</v>
      </c>
      <c r="G1" s="32"/>
      <c r="H1" s="33"/>
      <c r="J1" s="42" t="s">
        <v>24</v>
      </c>
      <c r="K1" s="24"/>
      <c r="L1" s="24"/>
      <c r="M1" s="24"/>
      <c r="N1" s="24"/>
      <c r="O1" s="25"/>
      <c r="Q1" s="43" t="s">
        <v>265</v>
      </c>
      <c r="R1" s="24"/>
      <c r="S1" s="24"/>
      <c r="T1" s="24"/>
      <c r="U1" s="24"/>
      <c r="V1" s="25"/>
    </row>
    <row r="2" spans="1:26" x14ac:dyDescent="0.3">
      <c r="A2" s="36" t="s">
        <v>22</v>
      </c>
      <c r="B2" s="21" t="s">
        <v>15</v>
      </c>
      <c r="C2" s="21" t="s">
        <v>16</v>
      </c>
      <c r="D2" s="37" t="s">
        <v>17</v>
      </c>
      <c r="E2" s="50" t="s">
        <v>22</v>
      </c>
      <c r="F2" s="50" t="s">
        <v>15</v>
      </c>
      <c r="G2" s="51" t="s">
        <v>16</v>
      </c>
      <c r="H2" s="52" t="s">
        <v>17</v>
      </c>
      <c r="J2" s="26" t="s">
        <v>12</v>
      </c>
      <c r="K2" s="1" t="s">
        <v>75</v>
      </c>
      <c r="L2" s="1" t="s">
        <v>13</v>
      </c>
      <c r="M2" s="1" t="s">
        <v>75</v>
      </c>
      <c r="N2" s="1" t="s">
        <v>14</v>
      </c>
      <c r="O2" s="27" t="s">
        <v>75</v>
      </c>
      <c r="Q2" s="26" t="s">
        <v>12</v>
      </c>
      <c r="R2" s="1" t="s">
        <v>75</v>
      </c>
      <c r="S2" s="1" t="s">
        <v>13</v>
      </c>
      <c r="T2" s="1" t="s">
        <v>75</v>
      </c>
      <c r="U2" s="1" t="s">
        <v>14</v>
      </c>
      <c r="V2" s="27" t="s">
        <v>75</v>
      </c>
    </row>
    <row r="3" spans="1:26" x14ac:dyDescent="0.3">
      <c r="A3" s="26">
        <v>1</v>
      </c>
      <c r="B3">
        <v>868.99999999999977</v>
      </c>
      <c r="C3">
        <v>716.53333333333319</v>
      </c>
      <c r="D3" s="38">
        <v>502.06666666666689</v>
      </c>
      <c r="E3" s="26">
        <v>1</v>
      </c>
      <c r="F3" s="26">
        <f>ROUNDUP(B3,0)</f>
        <v>869</v>
      </c>
      <c r="G3" s="1">
        <f>ROUNDUP(C3,0)</f>
        <v>717</v>
      </c>
      <c r="H3" s="27">
        <f>ROUNDUP(D3,0)</f>
        <v>503</v>
      </c>
      <c r="J3" s="26" t="s">
        <v>108</v>
      </c>
      <c r="K3" s="1">
        <v>869</v>
      </c>
      <c r="L3" s="1" t="s">
        <v>109</v>
      </c>
      <c r="M3" s="1">
        <v>717</v>
      </c>
      <c r="N3" s="1" t="s">
        <v>110</v>
      </c>
      <c r="O3" s="27">
        <v>503</v>
      </c>
      <c r="Q3" s="26" t="s">
        <v>108</v>
      </c>
      <c r="R3" s="1">
        <v>820</v>
      </c>
      <c r="S3" s="1" t="s">
        <v>109</v>
      </c>
      <c r="T3" s="1">
        <v>775</v>
      </c>
      <c r="U3" s="1" t="s">
        <v>110</v>
      </c>
      <c r="V3" s="27">
        <v>502</v>
      </c>
    </row>
    <row r="4" spans="1:26" x14ac:dyDescent="0.3">
      <c r="A4" s="26">
        <v>2</v>
      </c>
      <c r="B4">
        <v>983.66666666666652</v>
      </c>
      <c r="C4">
        <v>759.86666666666656</v>
      </c>
      <c r="D4" s="38">
        <v>547.4000000000002</v>
      </c>
      <c r="E4" s="26">
        <v>2</v>
      </c>
      <c r="F4" s="26">
        <f t="shared" ref="F4:F12" si="0">ROUNDUP(B4,0)</f>
        <v>984</v>
      </c>
      <c r="G4" s="1">
        <f t="shared" ref="G4:G12" si="1">ROUNDUP(C4,0)</f>
        <v>760</v>
      </c>
      <c r="H4" s="27">
        <f t="shared" ref="H4:H12" si="2">ROUNDUP(D4,0)</f>
        <v>548</v>
      </c>
      <c r="J4" s="26" t="s">
        <v>111</v>
      </c>
      <c r="K4" s="1">
        <v>984</v>
      </c>
      <c r="L4" s="1" t="s">
        <v>112</v>
      </c>
      <c r="M4" s="1">
        <v>760</v>
      </c>
      <c r="N4" s="1" t="s">
        <v>113</v>
      </c>
      <c r="O4" s="27">
        <v>548</v>
      </c>
      <c r="Q4" s="26" t="s">
        <v>111</v>
      </c>
      <c r="R4" s="1">
        <v>995</v>
      </c>
      <c r="S4" s="1" t="s">
        <v>112</v>
      </c>
      <c r="T4" s="1">
        <v>801</v>
      </c>
      <c r="U4" s="1" t="s">
        <v>113</v>
      </c>
      <c r="V4" s="27">
        <v>559</v>
      </c>
    </row>
    <row r="5" spans="1:26" x14ac:dyDescent="0.3">
      <c r="A5" s="26">
        <v>3</v>
      </c>
      <c r="B5">
        <v>757.66666666666629</v>
      </c>
      <c r="C5">
        <v>946.20000000000016</v>
      </c>
      <c r="D5" s="38">
        <v>684.73333333333369</v>
      </c>
      <c r="E5" s="26">
        <v>3</v>
      </c>
      <c r="F5" s="26">
        <f t="shared" si="0"/>
        <v>758</v>
      </c>
      <c r="G5" s="1">
        <f t="shared" si="1"/>
        <v>947</v>
      </c>
      <c r="H5" s="27">
        <f t="shared" si="2"/>
        <v>685</v>
      </c>
      <c r="J5" s="26" t="s">
        <v>114</v>
      </c>
      <c r="K5" s="1">
        <v>758</v>
      </c>
      <c r="L5" s="1" t="s">
        <v>115</v>
      </c>
      <c r="M5" s="1">
        <v>947</v>
      </c>
      <c r="N5" s="1" t="s">
        <v>116</v>
      </c>
      <c r="O5" s="27">
        <v>685</v>
      </c>
      <c r="Q5" s="26" t="s">
        <v>114</v>
      </c>
      <c r="R5" s="1">
        <v>720</v>
      </c>
      <c r="S5" s="1" t="s">
        <v>115</v>
      </c>
      <c r="T5" s="1">
        <v>895</v>
      </c>
      <c r="U5" s="1" t="s">
        <v>116</v>
      </c>
      <c r="V5" s="27">
        <v>693</v>
      </c>
    </row>
    <row r="6" spans="1:26" x14ac:dyDescent="0.3">
      <c r="A6" s="26">
        <v>4</v>
      </c>
      <c r="B6">
        <v>1032.333333333333</v>
      </c>
      <c r="C6">
        <v>826.19999999999982</v>
      </c>
      <c r="D6" s="38">
        <v>711.4000000000002</v>
      </c>
      <c r="E6" s="26">
        <v>4</v>
      </c>
      <c r="F6" s="26">
        <f t="shared" si="0"/>
        <v>1033</v>
      </c>
      <c r="G6" s="1">
        <f t="shared" si="1"/>
        <v>827</v>
      </c>
      <c r="H6" s="27">
        <f t="shared" si="2"/>
        <v>712</v>
      </c>
      <c r="J6" s="26" t="s">
        <v>117</v>
      </c>
      <c r="K6" s="1">
        <v>1033</v>
      </c>
      <c r="L6" s="1" t="s">
        <v>118</v>
      </c>
      <c r="M6" s="1">
        <v>827</v>
      </c>
      <c r="N6" s="1" t="s">
        <v>119</v>
      </c>
      <c r="O6" s="27">
        <v>712</v>
      </c>
      <c r="Q6" s="26" t="s">
        <v>117</v>
      </c>
      <c r="R6" s="1">
        <v>1010</v>
      </c>
      <c r="S6" s="1" t="s">
        <v>118</v>
      </c>
      <c r="T6" s="1">
        <v>900</v>
      </c>
      <c r="U6" s="1" t="s">
        <v>119</v>
      </c>
      <c r="V6" s="27">
        <v>701</v>
      </c>
    </row>
    <row r="7" spans="1:26" x14ac:dyDescent="0.3">
      <c r="A7" s="26">
        <v>5</v>
      </c>
      <c r="B7">
        <v>674</v>
      </c>
      <c r="C7">
        <v>813.19999999999982</v>
      </c>
      <c r="D7" s="38">
        <v>598.06666666666695</v>
      </c>
      <c r="E7" s="26">
        <v>5</v>
      </c>
      <c r="F7" s="26">
        <f t="shared" si="0"/>
        <v>674</v>
      </c>
      <c r="G7" s="1">
        <f t="shared" si="1"/>
        <v>814</v>
      </c>
      <c r="H7" s="27">
        <f t="shared" si="2"/>
        <v>599</v>
      </c>
      <c r="J7" s="26" t="s">
        <v>120</v>
      </c>
      <c r="K7" s="1">
        <v>674</v>
      </c>
      <c r="L7" s="1" t="s">
        <v>121</v>
      </c>
      <c r="M7" s="1">
        <v>814</v>
      </c>
      <c r="N7" s="1" t="s">
        <v>122</v>
      </c>
      <c r="O7" s="27">
        <v>599</v>
      </c>
      <c r="Q7" s="26" t="s">
        <v>120</v>
      </c>
      <c r="R7" s="1">
        <v>721</v>
      </c>
      <c r="S7" s="1" t="s">
        <v>121</v>
      </c>
      <c r="T7" s="1">
        <v>833</v>
      </c>
      <c r="U7" s="1" t="s">
        <v>122</v>
      </c>
      <c r="V7" s="27">
        <v>608</v>
      </c>
    </row>
    <row r="8" spans="1:26" x14ac:dyDescent="0.3">
      <c r="A8" s="26">
        <v>6</v>
      </c>
      <c r="B8">
        <v>693.99999999999977</v>
      </c>
      <c r="C8">
        <v>721.53333333333319</v>
      </c>
      <c r="D8" s="38">
        <v>405.06666666666689</v>
      </c>
      <c r="E8" s="26">
        <v>6</v>
      </c>
      <c r="F8" s="26">
        <f t="shared" si="0"/>
        <v>694</v>
      </c>
      <c r="G8" s="1">
        <f t="shared" si="1"/>
        <v>722</v>
      </c>
      <c r="H8" s="27">
        <f t="shared" si="2"/>
        <v>406</v>
      </c>
      <c r="J8" s="26" t="s">
        <v>123</v>
      </c>
      <c r="K8" s="1">
        <v>694</v>
      </c>
      <c r="L8" s="1" t="s">
        <v>124</v>
      </c>
      <c r="M8" s="1">
        <v>722</v>
      </c>
      <c r="N8" s="1" t="s">
        <v>125</v>
      </c>
      <c r="O8" s="27">
        <v>406</v>
      </c>
      <c r="Q8" s="26" t="s">
        <v>123</v>
      </c>
      <c r="R8" s="1">
        <v>712</v>
      </c>
      <c r="S8" s="1" t="s">
        <v>124</v>
      </c>
      <c r="T8" s="1">
        <v>700</v>
      </c>
      <c r="U8" s="1" t="s">
        <v>125</v>
      </c>
      <c r="V8" s="27">
        <v>411</v>
      </c>
    </row>
    <row r="9" spans="1:26" x14ac:dyDescent="0.3">
      <c r="A9" s="26">
        <v>7</v>
      </c>
      <c r="B9">
        <v>729.99999999999977</v>
      </c>
      <c r="C9">
        <v>596.86666666666656</v>
      </c>
      <c r="D9" s="38">
        <v>336.40000000000026</v>
      </c>
      <c r="E9" s="26">
        <v>7</v>
      </c>
      <c r="F9" s="26">
        <f t="shared" si="0"/>
        <v>730</v>
      </c>
      <c r="G9" s="1">
        <f t="shared" si="1"/>
        <v>597</v>
      </c>
      <c r="H9" s="27">
        <f t="shared" si="2"/>
        <v>337</v>
      </c>
      <c r="J9" s="26" t="s">
        <v>126</v>
      </c>
      <c r="K9" s="1">
        <v>730</v>
      </c>
      <c r="L9" s="1" t="s">
        <v>127</v>
      </c>
      <c r="M9" s="1">
        <v>597</v>
      </c>
      <c r="N9" s="1" t="s">
        <v>128</v>
      </c>
      <c r="O9" s="27">
        <v>337</v>
      </c>
      <c r="Q9" s="26" t="s">
        <v>126</v>
      </c>
      <c r="R9" s="1">
        <v>760</v>
      </c>
      <c r="S9" s="1" t="s">
        <v>127</v>
      </c>
      <c r="T9" s="1">
        <v>596</v>
      </c>
      <c r="U9" s="1" t="s">
        <v>128</v>
      </c>
      <c r="V9" s="27">
        <v>321</v>
      </c>
    </row>
    <row r="10" spans="1:26" x14ac:dyDescent="0.3">
      <c r="A10" s="26">
        <v>8</v>
      </c>
      <c r="B10">
        <v>646.33333333333326</v>
      </c>
      <c r="C10">
        <v>706.5333333333333</v>
      </c>
      <c r="D10" s="38">
        <v>532.06666666666695</v>
      </c>
      <c r="E10" s="26">
        <v>8</v>
      </c>
      <c r="F10" s="26">
        <f t="shared" si="0"/>
        <v>647</v>
      </c>
      <c r="G10" s="1">
        <f t="shared" si="1"/>
        <v>707</v>
      </c>
      <c r="H10" s="27">
        <f t="shared" si="2"/>
        <v>533</v>
      </c>
      <c r="J10" s="26" t="s">
        <v>129</v>
      </c>
      <c r="K10" s="1">
        <v>647</v>
      </c>
      <c r="L10" s="1" t="s">
        <v>130</v>
      </c>
      <c r="M10" s="1">
        <v>707</v>
      </c>
      <c r="N10" s="1" t="s">
        <v>131</v>
      </c>
      <c r="O10" s="27">
        <v>533</v>
      </c>
      <c r="Q10" s="26" t="s">
        <v>129</v>
      </c>
      <c r="R10" s="1">
        <v>622</v>
      </c>
      <c r="S10" s="1" t="s">
        <v>130</v>
      </c>
      <c r="T10" s="1">
        <v>700</v>
      </c>
      <c r="U10" s="1" t="s">
        <v>131</v>
      </c>
      <c r="V10" s="27">
        <v>546</v>
      </c>
    </row>
    <row r="11" spans="1:26" x14ac:dyDescent="0.3">
      <c r="A11" s="26">
        <v>9</v>
      </c>
      <c r="B11">
        <v>846.66666666666629</v>
      </c>
      <c r="C11">
        <v>878.5333333333333</v>
      </c>
      <c r="D11" s="38">
        <v>746.06666666666695</v>
      </c>
      <c r="E11" s="26">
        <v>9</v>
      </c>
      <c r="F11" s="26">
        <f t="shared" si="0"/>
        <v>847</v>
      </c>
      <c r="G11" s="1">
        <f t="shared" si="1"/>
        <v>879</v>
      </c>
      <c r="H11" s="27">
        <f t="shared" si="2"/>
        <v>747</v>
      </c>
      <c r="J11" s="26" t="s">
        <v>132</v>
      </c>
      <c r="K11" s="1">
        <v>847</v>
      </c>
      <c r="L11" s="1" t="s">
        <v>133</v>
      </c>
      <c r="M11" s="1">
        <v>879</v>
      </c>
      <c r="N11" s="1" t="s">
        <v>134</v>
      </c>
      <c r="O11" s="27">
        <v>747</v>
      </c>
      <c r="Q11" s="26" t="s">
        <v>132</v>
      </c>
      <c r="R11" s="1">
        <v>810</v>
      </c>
      <c r="S11" s="1" t="s">
        <v>133</v>
      </c>
      <c r="T11" s="1">
        <v>875</v>
      </c>
      <c r="U11" s="1" t="s">
        <v>134</v>
      </c>
      <c r="V11" s="27">
        <v>761</v>
      </c>
    </row>
    <row r="12" spans="1:26" x14ac:dyDescent="0.3">
      <c r="A12" s="28">
        <v>10</v>
      </c>
      <c r="B12" s="39">
        <v>1312.3333333333335</v>
      </c>
      <c r="C12" s="39">
        <v>1119.5333333333333</v>
      </c>
      <c r="D12" s="40">
        <v>1002.7333333333337</v>
      </c>
      <c r="E12" s="28">
        <v>10</v>
      </c>
      <c r="F12" s="28">
        <f t="shared" si="0"/>
        <v>1313</v>
      </c>
      <c r="G12" s="29">
        <f t="shared" si="1"/>
        <v>1120</v>
      </c>
      <c r="H12" s="30">
        <f t="shared" si="2"/>
        <v>1003</v>
      </c>
      <c r="J12" s="28" t="s">
        <v>135</v>
      </c>
      <c r="K12" s="29">
        <v>1313</v>
      </c>
      <c r="L12" s="29" t="s">
        <v>136</v>
      </c>
      <c r="M12" s="29">
        <v>1120</v>
      </c>
      <c r="N12" s="29" t="s">
        <v>137</v>
      </c>
      <c r="O12" s="30">
        <v>1003</v>
      </c>
      <c r="Q12" s="28" t="s">
        <v>135</v>
      </c>
      <c r="R12" s="29">
        <v>1376</v>
      </c>
      <c r="S12" s="29" t="s">
        <v>136</v>
      </c>
      <c r="T12" s="29">
        <v>1010</v>
      </c>
      <c r="U12" s="29" t="s">
        <v>137</v>
      </c>
      <c r="V12" s="30">
        <v>964</v>
      </c>
    </row>
    <row r="14" spans="1:26" x14ac:dyDescent="0.3">
      <c r="A14" s="31" t="s">
        <v>74</v>
      </c>
      <c r="B14" s="32"/>
      <c r="C14" s="32"/>
      <c r="D14" s="32"/>
      <c r="E14" s="32"/>
      <c r="F14" s="33"/>
    </row>
    <row r="15" spans="1:26" x14ac:dyDescent="0.3">
      <c r="A15" s="26" t="s">
        <v>12</v>
      </c>
      <c r="B15" s="1" t="s">
        <v>75</v>
      </c>
      <c r="C15" s="1" t="s">
        <v>13</v>
      </c>
      <c r="D15" s="1" t="s">
        <v>75</v>
      </c>
      <c r="E15" s="1" t="s">
        <v>14</v>
      </c>
      <c r="F15" s="27" t="s">
        <v>75</v>
      </c>
      <c r="G15" s="1"/>
      <c r="H15" s="42" t="s">
        <v>138</v>
      </c>
      <c r="I15" s="24"/>
      <c r="J15" s="24"/>
      <c r="K15" s="24"/>
      <c r="L15" s="24"/>
      <c r="M15" s="25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26" t="s">
        <v>76</v>
      </c>
      <c r="B16" s="1">
        <v>814</v>
      </c>
      <c r="C16" s="1" t="s">
        <v>77</v>
      </c>
      <c r="D16" s="1">
        <v>634</v>
      </c>
      <c r="E16" s="1" t="s">
        <v>78</v>
      </c>
      <c r="F16" s="27">
        <v>393</v>
      </c>
      <c r="G16" s="1"/>
      <c r="H16" s="26" t="s">
        <v>12</v>
      </c>
      <c r="I16" s="1" t="s">
        <v>75</v>
      </c>
      <c r="J16" s="1" t="s">
        <v>13</v>
      </c>
      <c r="K16" s="1" t="s">
        <v>75</v>
      </c>
      <c r="L16" s="1" t="s">
        <v>14</v>
      </c>
      <c r="M16" s="27" t="s">
        <v>75</v>
      </c>
      <c r="N16" s="1"/>
      <c r="O16" s="42" t="s">
        <v>169</v>
      </c>
      <c r="P16" s="24"/>
      <c r="Q16" s="24"/>
      <c r="R16" s="24"/>
      <c r="S16" s="23"/>
      <c r="T16" s="24"/>
      <c r="U16" s="24"/>
      <c r="V16" s="25"/>
      <c r="W16" s="24"/>
      <c r="X16" s="24"/>
      <c r="Y16" s="24"/>
      <c r="Z16" s="25"/>
    </row>
    <row r="17" spans="1:26" x14ac:dyDescent="0.3">
      <c r="A17" s="26" t="s">
        <v>79</v>
      </c>
      <c r="B17" s="1">
        <v>984</v>
      </c>
      <c r="C17" s="1" t="s">
        <v>80</v>
      </c>
      <c r="D17" s="1">
        <v>760</v>
      </c>
      <c r="E17" s="1" t="s">
        <v>81</v>
      </c>
      <c r="F17" s="27">
        <v>548</v>
      </c>
      <c r="G17" s="1"/>
      <c r="H17" s="26" t="s">
        <v>139</v>
      </c>
      <c r="I17" s="1">
        <v>55</v>
      </c>
      <c r="J17" s="1" t="s">
        <v>140</v>
      </c>
      <c r="K17" s="1">
        <v>83</v>
      </c>
      <c r="L17" s="1" t="s">
        <v>141</v>
      </c>
      <c r="M17" s="27">
        <v>110</v>
      </c>
      <c r="N17" s="1"/>
      <c r="O17" s="28" t="s">
        <v>12</v>
      </c>
      <c r="P17" s="29" t="s">
        <v>75</v>
      </c>
      <c r="Q17" s="29"/>
      <c r="R17" s="29"/>
      <c r="S17" s="28" t="s">
        <v>13</v>
      </c>
      <c r="T17" s="29" t="s">
        <v>75</v>
      </c>
      <c r="U17" s="29"/>
      <c r="V17" s="30"/>
      <c r="W17" s="29" t="s">
        <v>14</v>
      </c>
      <c r="X17" s="29" t="s">
        <v>75</v>
      </c>
      <c r="Y17" s="29"/>
      <c r="Z17" s="30"/>
    </row>
    <row r="18" spans="1:26" x14ac:dyDescent="0.3">
      <c r="A18" s="26" t="s">
        <v>82</v>
      </c>
      <c r="B18" s="1">
        <v>758</v>
      </c>
      <c r="C18" s="1" t="s">
        <v>83</v>
      </c>
      <c r="D18" s="1">
        <v>947</v>
      </c>
      <c r="E18" s="1" t="s">
        <v>84</v>
      </c>
      <c r="F18" s="27">
        <v>685</v>
      </c>
      <c r="G18" s="1"/>
      <c r="H18" s="26" t="s">
        <v>142</v>
      </c>
      <c r="I18" s="1">
        <v>0</v>
      </c>
      <c r="J18" s="1" t="s">
        <v>143</v>
      </c>
      <c r="K18" s="1">
        <v>0</v>
      </c>
      <c r="L18" s="1" t="s">
        <v>144</v>
      </c>
      <c r="M18" s="27">
        <v>0</v>
      </c>
      <c r="N18" s="1"/>
      <c r="O18" s="23" t="s">
        <v>170</v>
      </c>
      <c r="P18" s="24">
        <v>150</v>
      </c>
      <c r="Q18" s="24" t="s">
        <v>171</v>
      </c>
      <c r="R18" s="25">
        <v>1000</v>
      </c>
      <c r="S18" s="23" t="s">
        <v>172</v>
      </c>
      <c r="T18" s="24">
        <v>150</v>
      </c>
      <c r="U18" s="24" t="s">
        <v>173</v>
      </c>
      <c r="V18" s="25">
        <v>1000</v>
      </c>
      <c r="W18" s="23" t="s">
        <v>174</v>
      </c>
      <c r="X18" s="24">
        <v>150</v>
      </c>
      <c r="Y18" s="24" t="s">
        <v>175</v>
      </c>
      <c r="Z18" s="25">
        <v>1000</v>
      </c>
    </row>
    <row r="19" spans="1:26" x14ac:dyDescent="0.3">
      <c r="A19" s="26" t="s">
        <v>85</v>
      </c>
      <c r="B19" s="1">
        <v>1000</v>
      </c>
      <c r="C19" s="1" t="s">
        <v>86</v>
      </c>
      <c r="D19" s="1">
        <v>827</v>
      </c>
      <c r="E19" s="1" t="s">
        <v>87</v>
      </c>
      <c r="F19" s="27">
        <v>712</v>
      </c>
      <c r="G19" s="1"/>
      <c r="H19" s="26" t="s">
        <v>145</v>
      </c>
      <c r="I19" s="1">
        <v>0</v>
      </c>
      <c r="J19" s="1" t="s">
        <v>146</v>
      </c>
      <c r="K19" s="1">
        <v>0</v>
      </c>
      <c r="L19" s="1" t="s">
        <v>147</v>
      </c>
      <c r="M19" s="27">
        <v>0</v>
      </c>
      <c r="N19" s="1"/>
      <c r="O19" s="26" t="s">
        <v>176</v>
      </c>
      <c r="P19" s="1">
        <v>150</v>
      </c>
      <c r="Q19" s="1" t="s">
        <v>177</v>
      </c>
      <c r="R19" s="27">
        <v>1000</v>
      </c>
      <c r="S19" s="26" t="s">
        <v>178</v>
      </c>
      <c r="T19" s="1">
        <v>150</v>
      </c>
      <c r="U19" s="1" t="s">
        <v>179</v>
      </c>
      <c r="V19" s="27">
        <v>1000</v>
      </c>
      <c r="W19" s="26" t="s">
        <v>180</v>
      </c>
      <c r="X19" s="1">
        <v>150</v>
      </c>
      <c r="Y19" s="1" t="s">
        <v>181</v>
      </c>
      <c r="Z19" s="27">
        <v>1000</v>
      </c>
    </row>
    <row r="20" spans="1:26" x14ac:dyDescent="0.3">
      <c r="A20" s="26" t="s">
        <v>88</v>
      </c>
      <c r="B20" s="1">
        <v>674</v>
      </c>
      <c r="C20" s="1" t="s">
        <v>89</v>
      </c>
      <c r="D20" s="1">
        <v>814</v>
      </c>
      <c r="E20" s="1" t="s">
        <v>90</v>
      </c>
      <c r="F20" s="27">
        <v>599</v>
      </c>
      <c r="G20" s="1"/>
      <c r="H20" s="26" t="s">
        <v>148</v>
      </c>
      <c r="I20" s="1">
        <v>0</v>
      </c>
      <c r="J20" s="1" t="s">
        <v>149</v>
      </c>
      <c r="K20" s="1">
        <v>0</v>
      </c>
      <c r="L20" s="1" t="s">
        <v>150</v>
      </c>
      <c r="M20" s="27">
        <v>0</v>
      </c>
      <c r="N20" s="1"/>
      <c r="O20" s="26" t="s">
        <v>182</v>
      </c>
      <c r="P20" s="1">
        <v>150</v>
      </c>
      <c r="Q20" s="1" t="s">
        <v>183</v>
      </c>
      <c r="R20" s="27">
        <v>1000</v>
      </c>
      <c r="S20" s="26" t="s">
        <v>184</v>
      </c>
      <c r="T20" s="1">
        <v>150</v>
      </c>
      <c r="U20" s="1" t="s">
        <v>185</v>
      </c>
      <c r="V20" s="27">
        <v>1000</v>
      </c>
      <c r="W20" s="26" t="s">
        <v>186</v>
      </c>
      <c r="X20" s="1">
        <v>150</v>
      </c>
      <c r="Y20" s="1" t="s">
        <v>187</v>
      </c>
      <c r="Z20" s="27">
        <v>1000</v>
      </c>
    </row>
    <row r="21" spans="1:26" x14ac:dyDescent="0.3">
      <c r="A21" s="26" t="s">
        <v>91</v>
      </c>
      <c r="B21" s="1">
        <v>694</v>
      </c>
      <c r="C21" s="1" t="s">
        <v>92</v>
      </c>
      <c r="D21" s="1">
        <v>722</v>
      </c>
      <c r="E21" s="1" t="s">
        <v>93</v>
      </c>
      <c r="F21" s="27">
        <v>406</v>
      </c>
      <c r="G21" s="1"/>
      <c r="H21" s="26" t="s">
        <v>151</v>
      </c>
      <c r="I21" s="1">
        <v>0</v>
      </c>
      <c r="J21" s="1" t="s">
        <v>152</v>
      </c>
      <c r="K21" s="1">
        <v>0</v>
      </c>
      <c r="L21" s="1" t="s">
        <v>153</v>
      </c>
      <c r="M21" s="27">
        <v>0</v>
      </c>
      <c r="N21" s="1"/>
      <c r="O21" s="26" t="s">
        <v>188</v>
      </c>
      <c r="P21" s="1">
        <v>150</v>
      </c>
      <c r="Q21" s="1" t="s">
        <v>189</v>
      </c>
      <c r="R21" s="27">
        <v>1000</v>
      </c>
      <c r="S21" s="26" t="s">
        <v>190</v>
      </c>
      <c r="T21" s="1">
        <v>150</v>
      </c>
      <c r="U21" s="1" t="s">
        <v>191</v>
      </c>
      <c r="V21" s="27">
        <v>1000</v>
      </c>
      <c r="W21" s="26" t="s">
        <v>192</v>
      </c>
      <c r="X21" s="1">
        <v>150</v>
      </c>
      <c r="Y21" s="1" t="s">
        <v>193</v>
      </c>
      <c r="Z21" s="27">
        <v>1000</v>
      </c>
    </row>
    <row r="22" spans="1:26" x14ac:dyDescent="0.3">
      <c r="A22" s="26" t="s">
        <v>94</v>
      </c>
      <c r="B22" s="1">
        <v>730</v>
      </c>
      <c r="C22" s="1" t="s">
        <v>95</v>
      </c>
      <c r="D22" s="1">
        <v>597</v>
      </c>
      <c r="E22" s="1" t="s">
        <v>96</v>
      </c>
      <c r="F22" s="27">
        <v>172</v>
      </c>
      <c r="G22" s="1"/>
      <c r="H22" s="26" t="s">
        <v>154</v>
      </c>
      <c r="I22" s="1">
        <v>0</v>
      </c>
      <c r="J22" s="1" t="s">
        <v>155</v>
      </c>
      <c r="K22" s="1">
        <v>0</v>
      </c>
      <c r="L22" s="1" t="s">
        <v>156</v>
      </c>
      <c r="M22" s="27">
        <v>0</v>
      </c>
      <c r="N22" s="1"/>
      <c r="O22" s="26" t="s">
        <v>194</v>
      </c>
      <c r="P22" s="1">
        <v>150</v>
      </c>
      <c r="Q22" s="1" t="s">
        <v>195</v>
      </c>
      <c r="R22" s="27">
        <v>1000</v>
      </c>
      <c r="S22" s="26" t="s">
        <v>196</v>
      </c>
      <c r="T22" s="1">
        <v>150</v>
      </c>
      <c r="U22" s="1" t="s">
        <v>197</v>
      </c>
      <c r="V22" s="27">
        <v>1000</v>
      </c>
      <c r="W22" s="26" t="s">
        <v>198</v>
      </c>
      <c r="X22" s="1">
        <v>150</v>
      </c>
      <c r="Y22" s="1" t="s">
        <v>199</v>
      </c>
      <c r="Z22" s="27">
        <v>1000</v>
      </c>
    </row>
    <row r="23" spans="1:26" x14ac:dyDescent="0.3">
      <c r="A23" s="26" t="s">
        <v>97</v>
      </c>
      <c r="B23" s="1">
        <v>647</v>
      </c>
      <c r="C23" s="1" t="s">
        <v>98</v>
      </c>
      <c r="D23" s="1">
        <v>707</v>
      </c>
      <c r="E23" s="1" t="s">
        <v>99</v>
      </c>
      <c r="F23" s="27">
        <v>150</v>
      </c>
      <c r="G23" s="1"/>
      <c r="H23" s="26" t="s">
        <v>157</v>
      </c>
      <c r="I23" s="1">
        <v>0</v>
      </c>
      <c r="J23" s="1" t="s">
        <v>158</v>
      </c>
      <c r="K23" s="1">
        <v>0</v>
      </c>
      <c r="L23" s="1" t="s">
        <v>159</v>
      </c>
      <c r="M23" s="27">
        <v>0</v>
      </c>
      <c r="N23" s="1"/>
      <c r="O23" s="26" t="s">
        <v>200</v>
      </c>
      <c r="P23" s="1">
        <v>150</v>
      </c>
      <c r="Q23" s="1" t="s">
        <v>201</v>
      </c>
      <c r="R23" s="27">
        <v>1000</v>
      </c>
      <c r="S23" s="26" t="s">
        <v>202</v>
      </c>
      <c r="T23" s="1">
        <v>150</v>
      </c>
      <c r="U23" s="1" t="s">
        <v>203</v>
      </c>
      <c r="V23" s="27">
        <v>1000</v>
      </c>
      <c r="W23" s="26" t="s">
        <v>204</v>
      </c>
      <c r="X23" s="1">
        <v>150</v>
      </c>
      <c r="Y23" s="1" t="s">
        <v>205</v>
      </c>
      <c r="Z23" s="27">
        <v>1000</v>
      </c>
    </row>
    <row r="24" spans="1:26" x14ac:dyDescent="0.3">
      <c r="A24" s="26" t="s">
        <v>100</v>
      </c>
      <c r="B24" s="1">
        <v>847</v>
      </c>
      <c r="C24" s="1" t="s">
        <v>101</v>
      </c>
      <c r="D24" s="1">
        <v>879</v>
      </c>
      <c r="E24" s="1" t="s">
        <v>102</v>
      </c>
      <c r="F24" s="27">
        <v>150</v>
      </c>
      <c r="G24" s="1"/>
      <c r="H24" s="26" t="s">
        <v>160</v>
      </c>
      <c r="I24" s="1">
        <v>0</v>
      </c>
      <c r="J24" s="1" t="s">
        <v>161</v>
      </c>
      <c r="K24" s="1">
        <v>0</v>
      </c>
      <c r="L24" s="1" t="s">
        <v>162</v>
      </c>
      <c r="M24" s="27">
        <v>0</v>
      </c>
      <c r="N24" s="1"/>
      <c r="O24" s="26" t="s">
        <v>206</v>
      </c>
      <c r="P24" s="1">
        <v>150</v>
      </c>
      <c r="Q24" s="1" t="s">
        <v>207</v>
      </c>
      <c r="R24" s="27">
        <v>1000</v>
      </c>
      <c r="S24" s="26" t="s">
        <v>208</v>
      </c>
      <c r="T24" s="1">
        <v>150</v>
      </c>
      <c r="U24" s="1" t="s">
        <v>209</v>
      </c>
      <c r="V24" s="27">
        <v>1000</v>
      </c>
      <c r="W24" s="26" t="s">
        <v>210</v>
      </c>
      <c r="X24" s="1">
        <v>150</v>
      </c>
      <c r="Y24" s="1" t="s">
        <v>211</v>
      </c>
      <c r="Z24" s="27">
        <v>1000</v>
      </c>
    </row>
    <row r="25" spans="1:26" x14ac:dyDescent="0.3">
      <c r="A25" s="28" t="s">
        <v>103</v>
      </c>
      <c r="B25" s="29">
        <v>1000</v>
      </c>
      <c r="C25" s="29" t="s">
        <v>104</v>
      </c>
      <c r="D25" s="29">
        <v>1000</v>
      </c>
      <c r="E25" s="29" t="s">
        <v>105</v>
      </c>
      <c r="F25" s="30">
        <v>150</v>
      </c>
      <c r="G25" s="1"/>
      <c r="H25" s="26" t="s">
        <v>163</v>
      </c>
      <c r="I25" s="1">
        <v>0</v>
      </c>
      <c r="J25" s="1" t="s">
        <v>164</v>
      </c>
      <c r="K25" s="1">
        <v>0</v>
      </c>
      <c r="L25" s="1" t="s">
        <v>165</v>
      </c>
      <c r="M25" s="27">
        <v>0</v>
      </c>
      <c r="N25" s="1"/>
      <c r="O25" s="26" t="s">
        <v>212</v>
      </c>
      <c r="P25" s="1">
        <v>150</v>
      </c>
      <c r="Q25" s="1" t="s">
        <v>213</v>
      </c>
      <c r="R25" s="27">
        <v>1000</v>
      </c>
      <c r="S25" s="26" t="s">
        <v>214</v>
      </c>
      <c r="T25" s="1">
        <v>150</v>
      </c>
      <c r="U25" s="1" t="s">
        <v>215</v>
      </c>
      <c r="V25" s="27">
        <v>1000</v>
      </c>
      <c r="W25" s="26" t="s">
        <v>216</v>
      </c>
      <c r="X25" s="1">
        <v>150</v>
      </c>
      <c r="Y25" s="1" t="s">
        <v>217</v>
      </c>
      <c r="Z25" s="27">
        <v>1000</v>
      </c>
    </row>
    <row r="26" spans="1:26" x14ac:dyDescent="0.3">
      <c r="A26" s="1"/>
      <c r="B26" s="1"/>
      <c r="C26" s="1"/>
      <c r="D26" s="1"/>
      <c r="E26" s="1"/>
      <c r="F26" s="1"/>
      <c r="G26" s="1"/>
      <c r="H26" s="28" t="s">
        <v>166</v>
      </c>
      <c r="I26" s="29">
        <v>0</v>
      </c>
      <c r="J26" s="29" t="s">
        <v>167</v>
      </c>
      <c r="K26" s="29">
        <v>0</v>
      </c>
      <c r="L26" s="29" t="s">
        <v>168</v>
      </c>
      <c r="M26" s="30">
        <v>0</v>
      </c>
      <c r="N26" s="1"/>
      <c r="O26" s="26" t="s">
        <v>218</v>
      </c>
      <c r="P26" s="1">
        <v>150</v>
      </c>
      <c r="Q26" s="1" t="s">
        <v>219</v>
      </c>
      <c r="R26" s="27">
        <v>1000</v>
      </c>
      <c r="S26" s="26" t="s">
        <v>220</v>
      </c>
      <c r="T26" s="1">
        <v>150</v>
      </c>
      <c r="U26" s="1" t="s">
        <v>221</v>
      </c>
      <c r="V26" s="27">
        <v>1000</v>
      </c>
      <c r="W26" s="26" t="s">
        <v>222</v>
      </c>
      <c r="X26" s="1">
        <v>150</v>
      </c>
      <c r="Y26" s="1" t="s">
        <v>223</v>
      </c>
      <c r="Z26" s="27">
        <v>1000</v>
      </c>
    </row>
    <row r="27" spans="1:26" x14ac:dyDescent="0.3">
      <c r="A27" s="22" t="s">
        <v>106</v>
      </c>
      <c r="B27" s="48">
        <f>SUM(B16:B25,D16:D25,F16:F25)</f>
        <v>20000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28" t="s">
        <v>224</v>
      </c>
      <c r="P27" s="29">
        <v>150</v>
      </c>
      <c r="Q27" s="29" t="s">
        <v>225</v>
      </c>
      <c r="R27" s="30">
        <v>1000</v>
      </c>
      <c r="S27" s="28" t="s">
        <v>226</v>
      </c>
      <c r="T27" s="29">
        <v>150</v>
      </c>
      <c r="U27" s="29" t="s">
        <v>227</v>
      </c>
      <c r="V27" s="30">
        <v>1000</v>
      </c>
      <c r="W27" s="28" t="s">
        <v>228</v>
      </c>
      <c r="X27" s="29">
        <v>150</v>
      </c>
      <c r="Y27" s="29" t="s">
        <v>229</v>
      </c>
      <c r="Z27" s="30">
        <v>1000</v>
      </c>
    </row>
    <row r="28" spans="1:26" x14ac:dyDescent="0.3">
      <c r="A28" s="22" t="s">
        <v>107</v>
      </c>
      <c r="B28" s="1">
        <v>20000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23"/>
      <c r="I30" s="44" t="s">
        <v>269</v>
      </c>
      <c r="J30" s="24"/>
      <c r="K30" s="24"/>
      <c r="L30" s="25"/>
      <c r="N30" s="53"/>
      <c r="O30" s="47" t="s">
        <v>270</v>
      </c>
      <c r="P30" s="24"/>
      <c r="Q30" s="24"/>
      <c r="R30" s="25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26"/>
      <c r="I31" s="1" t="s">
        <v>12</v>
      </c>
      <c r="J31" s="1" t="s">
        <v>13</v>
      </c>
      <c r="K31" s="1" t="s">
        <v>14</v>
      </c>
      <c r="L31" s="27" t="s">
        <v>49</v>
      </c>
      <c r="N31" s="45"/>
      <c r="O31" s="1" t="s">
        <v>12</v>
      </c>
      <c r="P31" s="1" t="s">
        <v>13</v>
      </c>
      <c r="Q31" s="1" t="s">
        <v>14</v>
      </c>
      <c r="R31" s="27" t="s">
        <v>49</v>
      </c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26" t="s">
        <v>232</v>
      </c>
      <c r="I32" s="1">
        <f>MAX(0,R3-B16-I17)</f>
        <v>0</v>
      </c>
      <c r="J32" s="1">
        <f>MAX(0,T3-D16-K17)</f>
        <v>58</v>
      </c>
      <c r="K32" s="1">
        <f>MAX(0,V3-F16-M17)</f>
        <v>0</v>
      </c>
      <c r="L32" s="27">
        <f>SUM(I32:K32)</f>
        <v>58</v>
      </c>
      <c r="N32" s="26" t="s">
        <v>232</v>
      </c>
      <c r="O32" s="1">
        <f>MAX(0,-R3+B16+I17)</f>
        <v>49</v>
      </c>
      <c r="P32" s="1">
        <f>MAX(0,-T3+D16+K17)</f>
        <v>0</v>
      </c>
      <c r="Q32" s="1">
        <f>MAX(0,-V3+F16+M17)</f>
        <v>1</v>
      </c>
      <c r="R32" s="27">
        <f>SUM(O32:Q32)</f>
        <v>50</v>
      </c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43" t="s">
        <v>242</v>
      </c>
      <c r="B33" s="24"/>
      <c r="C33" s="24"/>
      <c r="D33" s="24"/>
      <c r="E33" s="24"/>
      <c r="F33" s="25"/>
      <c r="G33" s="1"/>
      <c r="H33" s="26" t="s">
        <v>233</v>
      </c>
      <c r="I33" s="1">
        <f t="shared" ref="I33:I41" si="3">MAX(0,R4-B17-I18)</f>
        <v>11</v>
      </c>
      <c r="J33" s="1">
        <f t="shared" ref="J33:J41" si="4">MAX(0,T4-D17-K18)</f>
        <v>41</v>
      </c>
      <c r="K33" s="1">
        <f t="shared" ref="K33:K41" si="5">MAX(0,V4-F17-M18)</f>
        <v>11</v>
      </c>
      <c r="L33" s="27">
        <f t="shared" ref="L33:L42" si="6">SUM(I33:K33)</f>
        <v>63</v>
      </c>
      <c r="N33" s="26" t="s">
        <v>233</v>
      </c>
      <c r="O33" s="1">
        <f t="shared" ref="O33:O41" si="7">MAX(0,-R4+B17+I18)</f>
        <v>0</v>
      </c>
      <c r="P33" s="1">
        <f t="shared" ref="P33:P41" si="8">MAX(0,-T4+D17+K18)</f>
        <v>0</v>
      </c>
      <c r="Q33" s="1">
        <f t="shared" ref="Q33:Q41" si="9">MAX(0,-V4+F17+M18)</f>
        <v>0</v>
      </c>
      <c r="R33" s="27">
        <f t="shared" ref="R33:R42" si="10">SUM(O33:Q33)</f>
        <v>0</v>
      </c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26" t="s">
        <v>12</v>
      </c>
      <c r="B34" s="1" t="s">
        <v>75</v>
      </c>
      <c r="C34" s="1" t="s">
        <v>13</v>
      </c>
      <c r="D34" s="1" t="s">
        <v>75</v>
      </c>
      <c r="E34" s="1" t="s">
        <v>14</v>
      </c>
      <c r="F34" s="27" t="s">
        <v>75</v>
      </c>
      <c r="H34" s="26" t="s">
        <v>234</v>
      </c>
      <c r="I34" s="1">
        <f t="shared" si="3"/>
        <v>0</v>
      </c>
      <c r="J34" s="1">
        <f t="shared" si="4"/>
        <v>0</v>
      </c>
      <c r="K34" s="1">
        <f t="shared" si="5"/>
        <v>8</v>
      </c>
      <c r="L34" s="27">
        <f t="shared" si="6"/>
        <v>8</v>
      </c>
      <c r="N34" s="26" t="s">
        <v>234</v>
      </c>
      <c r="O34" s="1">
        <f t="shared" si="7"/>
        <v>38</v>
      </c>
      <c r="P34" s="1">
        <f t="shared" si="8"/>
        <v>52</v>
      </c>
      <c r="Q34" s="1">
        <f t="shared" si="9"/>
        <v>0</v>
      </c>
      <c r="R34" s="27">
        <f t="shared" si="10"/>
        <v>90</v>
      </c>
    </row>
    <row r="35" spans="1:26" x14ac:dyDescent="0.3">
      <c r="A35" s="26" t="s">
        <v>243</v>
      </c>
      <c r="B35" s="1">
        <f>B16+I17</f>
        <v>869</v>
      </c>
      <c r="C35" s="1" t="s">
        <v>244</v>
      </c>
      <c r="D35" s="1">
        <f>D16+K17</f>
        <v>717</v>
      </c>
      <c r="E35" s="1" t="s">
        <v>244</v>
      </c>
      <c r="F35" s="27">
        <f>F16+M17</f>
        <v>503</v>
      </c>
      <c r="H35" s="26" t="s">
        <v>235</v>
      </c>
      <c r="I35" s="1">
        <f t="shared" si="3"/>
        <v>10</v>
      </c>
      <c r="J35" s="1">
        <f t="shared" si="4"/>
        <v>73</v>
      </c>
      <c r="K35" s="1">
        <f t="shared" si="5"/>
        <v>0</v>
      </c>
      <c r="L35" s="27">
        <f t="shared" si="6"/>
        <v>83</v>
      </c>
      <c r="N35" s="26" t="s">
        <v>235</v>
      </c>
      <c r="O35" s="1">
        <f t="shared" si="7"/>
        <v>0</v>
      </c>
      <c r="P35" s="1">
        <f t="shared" si="8"/>
        <v>0</v>
      </c>
      <c r="Q35" s="1">
        <f t="shared" si="9"/>
        <v>11</v>
      </c>
      <c r="R35" s="27">
        <f t="shared" si="10"/>
        <v>11</v>
      </c>
    </row>
    <row r="36" spans="1:26" x14ac:dyDescent="0.3">
      <c r="A36" s="26" t="s">
        <v>245</v>
      </c>
      <c r="B36" s="1">
        <f t="shared" ref="B36:B44" si="11">B17+I18</f>
        <v>984</v>
      </c>
      <c r="C36" s="1" t="s">
        <v>246</v>
      </c>
      <c r="D36" s="1">
        <f t="shared" ref="D36:D44" si="12">D17+K18</f>
        <v>760</v>
      </c>
      <c r="E36" s="1" t="s">
        <v>246</v>
      </c>
      <c r="F36" s="27">
        <f t="shared" ref="F36:F44" si="13">F17+M18</f>
        <v>548</v>
      </c>
      <c r="H36" s="26" t="s">
        <v>236</v>
      </c>
      <c r="I36" s="1">
        <f t="shared" si="3"/>
        <v>47</v>
      </c>
      <c r="J36" s="1">
        <f t="shared" si="4"/>
        <v>19</v>
      </c>
      <c r="K36" s="1">
        <f t="shared" si="5"/>
        <v>9</v>
      </c>
      <c r="L36" s="27">
        <f t="shared" si="6"/>
        <v>75</v>
      </c>
      <c r="N36" s="26" t="s">
        <v>236</v>
      </c>
      <c r="O36" s="1">
        <f t="shared" si="7"/>
        <v>0</v>
      </c>
      <c r="P36" s="1">
        <f t="shared" si="8"/>
        <v>0</v>
      </c>
      <c r="Q36" s="1">
        <f t="shared" si="9"/>
        <v>0</v>
      </c>
      <c r="R36" s="27">
        <f t="shared" si="10"/>
        <v>0</v>
      </c>
    </row>
    <row r="37" spans="1:26" x14ac:dyDescent="0.3">
      <c r="A37" s="26" t="s">
        <v>247</v>
      </c>
      <c r="B37" s="1">
        <f t="shared" si="11"/>
        <v>758</v>
      </c>
      <c r="C37" s="1" t="s">
        <v>248</v>
      </c>
      <c r="D37" s="1">
        <f t="shared" si="12"/>
        <v>947</v>
      </c>
      <c r="E37" s="1" t="s">
        <v>248</v>
      </c>
      <c r="F37" s="27">
        <f t="shared" si="13"/>
        <v>685</v>
      </c>
      <c r="H37" s="26" t="s">
        <v>237</v>
      </c>
      <c r="I37" s="1">
        <f t="shared" si="3"/>
        <v>18</v>
      </c>
      <c r="J37" s="1">
        <f t="shared" si="4"/>
        <v>0</v>
      </c>
      <c r="K37" s="1">
        <f t="shared" si="5"/>
        <v>5</v>
      </c>
      <c r="L37" s="27">
        <f t="shared" si="6"/>
        <v>23</v>
      </c>
      <c r="N37" s="26" t="s">
        <v>237</v>
      </c>
      <c r="O37" s="1">
        <f t="shared" si="7"/>
        <v>0</v>
      </c>
      <c r="P37" s="1">
        <f t="shared" si="8"/>
        <v>22</v>
      </c>
      <c r="Q37" s="1">
        <f t="shared" si="9"/>
        <v>0</v>
      </c>
      <c r="R37" s="27">
        <f t="shared" si="10"/>
        <v>22</v>
      </c>
    </row>
    <row r="38" spans="1:26" x14ac:dyDescent="0.3">
      <c r="A38" s="26" t="s">
        <v>249</v>
      </c>
      <c r="B38" s="1">
        <f t="shared" si="11"/>
        <v>1000</v>
      </c>
      <c r="C38" s="1" t="s">
        <v>250</v>
      </c>
      <c r="D38" s="1">
        <f t="shared" si="12"/>
        <v>827</v>
      </c>
      <c r="E38" s="1" t="s">
        <v>250</v>
      </c>
      <c r="F38" s="27">
        <f t="shared" si="13"/>
        <v>712</v>
      </c>
      <c r="H38" s="26" t="s">
        <v>238</v>
      </c>
      <c r="I38" s="1">
        <f t="shared" si="3"/>
        <v>30</v>
      </c>
      <c r="J38" s="1">
        <f t="shared" si="4"/>
        <v>0</v>
      </c>
      <c r="K38" s="1">
        <f t="shared" si="5"/>
        <v>149</v>
      </c>
      <c r="L38" s="27">
        <f t="shared" si="6"/>
        <v>179</v>
      </c>
      <c r="N38" s="26" t="s">
        <v>238</v>
      </c>
      <c r="O38" s="1">
        <f t="shared" si="7"/>
        <v>0</v>
      </c>
      <c r="P38" s="1">
        <f t="shared" si="8"/>
        <v>1</v>
      </c>
      <c r="Q38" s="1">
        <f t="shared" si="9"/>
        <v>0</v>
      </c>
      <c r="R38" s="27">
        <f t="shared" si="10"/>
        <v>1</v>
      </c>
    </row>
    <row r="39" spans="1:26" x14ac:dyDescent="0.3">
      <c r="A39" s="26" t="s">
        <v>251</v>
      </c>
      <c r="B39" s="1">
        <f t="shared" si="11"/>
        <v>674</v>
      </c>
      <c r="C39" s="1" t="s">
        <v>252</v>
      </c>
      <c r="D39" s="1">
        <f t="shared" si="12"/>
        <v>814</v>
      </c>
      <c r="E39" s="1" t="s">
        <v>252</v>
      </c>
      <c r="F39" s="27">
        <f t="shared" si="13"/>
        <v>599</v>
      </c>
      <c r="H39" s="26" t="s">
        <v>239</v>
      </c>
      <c r="I39" s="1">
        <f t="shared" si="3"/>
        <v>0</v>
      </c>
      <c r="J39" s="1">
        <f t="shared" si="4"/>
        <v>0</v>
      </c>
      <c r="K39" s="1">
        <f t="shared" si="5"/>
        <v>396</v>
      </c>
      <c r="L39" s="27">
        <f t="shared" si="6"/>
        <v>396</v>
      </c>
      <c r="N39" s="26" t="s">
        <v>239</v>
      </c>
      <c r="O39" s="1">
        <f t="shared" si="7"/>
        <v>25</v>
      </c>
      <c r="P39" s="1">
        <f t="shared" si="8"/>
        <v>7</v>
      </c>
      <c r="Q39" s="1">
        <f t="shared" si="9"/>
        <v>0</v>
      </c>
      <c r="R39" s="27">
        <f t="shared" si="10"/>
        <v>32</v>
      </c>
    </row>
    <row r="40" spans="1:26" x14ac:dyDescent="0.3">
      <c r="A40" s="26" t="s">
        <v>253</v>
      </c>
      <c r="B40" s="1">
        <f t="shared" si="11"/>
        <v>694</v>
      </c>
      <c r="C40" s="1" t="s">
        <v>254</v>
      </c>
      <c r="D40" s="1">
        <f t="shared" si="12"/>
        <v>722</v>
      </c>
      <c r="E40" s="1" t="s">
        <v>254</v>
      </c>
      <c r="F40" s="27">
        <f t="shared" si="13"/>
        <v>406</v>
      </c>
      <c r="H40" s="26" t="s">
        <v>240</v>
      </c>
      <c r="I40" s="1">
        <f t="shared" si="3"/>
        <v>0</v>
      </c>
      <c r="J40" s="1">
        <f t="shared" si="4"/>
        <v>0</v>
      </c>
      <c r="K40" s="1">
        <f t="shared" si="5"/>
        <v>611</v>
      </c>
      <c r="L40" s="27">
        <f t="shared" si="6"/>
        <v>611</v>
      </c>
      <c r="N40" s="26" t="s">
        <v>240</v>
      </c>
      <c r="O40" s="1">
        <f t="shared" si="7"/>
        <v>37</v>
      </c>
      <c r="P40" s="1">
        <f t="shared" si="8"/>
        <v>4</v>
      </c>
      <c r="Q40" s="1">
        <f t="shared" si="9"/>
        <v>0</v>
      </c>
      <c r="R40" s="27">
        <f t="shared" si="10"/>
        <v>41</v>
      </c>
    </row>
    <row r="41" spans="1:26" x14ac:dyDescent="0.3">
      <c r="A41" s="26" t="s">
        <v>255</v>
      </c>
      <c r="B41" s="1">
        <f t="shared" si="11"/>
        <v>730</v>
      </c>
      <c r="C41" s="1" t="s">
        <v>256</v>
      </c>
      <c r="D41" s="1">
        <f t="shared" si="12"/>
        <v>597</v>
      </c>
      <c r="E41" s="1" t="s">
        <v>256</v>
      </c>
      <c r="F41" s="27">
        <f t="shared" si="13"/>
        <v>172</v>
      </c>
      <c r="H41" s="26" t="s">
        <v>241</v>
      </c>
      <c r="I41" s="1">
        <f t="shared" si="3"/>
        <v>376</v>
      </c>
      <c r="J41" s="1">
        <f t="shared" si="4"/>
        <v>10</v>
      </c>
      <c r="K41" s="1">
        <f t="shared" si="5"/>
        <v>814</v>
      </c>
      <c r="L41" s="27">
        <f t="shared" si="6"/>
        <v>1200</v>
      </c>
      <c r="N41" s="26" t="s">
        <v>241</v>
      </c>
      <c r="O41" s="1">
        <f t="shared" si="7"/>
        <v>0</v>
      </c>
      <c r="P41" s="1">
        <f t="shared" si="8"/>
        <v>0</v>
      </c>
      <c r="Q41" s="1">
        <f t="shared" si="9"/>
        <v>0</v>
      </c>
      <c r="R41" s="27">
        <f t="shared" si="10"/>
        <v>0</v>
      </c>
    </row>
    <row r="42" spans="1:26" x14ac:dyDescent="0.3">
      <c r="A42" s="26" t="s">
        <v>257</v>
      </c>
      <c r="B42" s="1">
        <f t="shared" si="11"/>
        <v>647</v>
      </c>
      <c r="C42" s="1" t="s">
        <v>258</v>
      </c>
      <c r="D42" s="1">
        <f t="shared" si="12"/>
        <v>707</v>
      </c>
      <c r="E42" s="1" t="s">
        <v>258</v>
      </c>
      <c r="F42" s="27">
        <f t="shared" si="13"/>
        <v>150</v>
      </c>
      <c r="H42" s="28" t="s">
        <v>49</v>
      </c>
      <c r="I42" s="29">
        <f>SUM(I32:I41)</f>
        <v>492</v>
      </c>
      <c r="J42" s="29">
        <f>SUM(J32:J41)</f>
        <v>201</v>
      </c>
      <c r="K42" s="29">
        <f>SUM(K32:K41)</f>
        <v>2003</v>
      </c>
      <c r="L42" s="30">
        <f t="shared" si="6"/>
        <v>2696</v>
      </c>
      <c r="N42" s="28" t="s">
        <v>49</v>
      </c>
      <c r="O42" s="29">
        <f>SUM(O32:O41)</f>
        <v>149</v>
      </c>
      <c r="P42" s="29">
        <f>SUM(P32:P41)</f>
        <v>86</v>
      </c>
      <c r="Q42" s="29">
        <f>SUM(Q32:Q41)</f>
        <v>12</v>
      </c>
      <c r="R42" s="30">
        <f t="shared" si="10"/>
        <v>247</v>
      </c>
    </row>
    <row r="43" spans="1:26" x14ac:dyDescent="0.3">
      <c r="A43" s="26" t="s">
        <v>259</v>
      </c>
      <c r="B43" s="1">
        <f t="shared" si="11"/>
        <v>847</v>
      </c>
      <c r="C43" s="1" t="s">
        <v>260</v>
      </c>
      <c r="D43" s="1">
        <f t="shared" si="12"/>
        <v>879</v>
      </c>
      <c r="E43" s="1" t="s">
        <v>260</v>
      </c>
      <c r="F43" s="27">
        <f t="shared" si="13"/>
        <v>150</v>
      </c>
    </row>
    <row r="44" spans="1:26" x14ac:dyDescent="0.3">
      <c r="A44" s="28" t="s">
        <v>261</v>
      </c>
      <c r="B44" s="29">
        <f t="shared" si="11"/>
        <v>1000</v>
      </c>
      <c r="C44" s="29" t="s">
        <v>262</v>
      </c>
      <c r="D44" s="29">
        <f t="shared" si="12"/>
        <v>1000</v>
      </c>
      <c r="E44" s="29" t="s">
        <v>262</v>
      </c>
      <c r="F44" s="30">
        <f t="shared" si="13"/>
        <v>150</v>
      </c>
      <c r="H44" s="1" t="s">
        <v>263</v>
      </c>
      <c r="I44" s="2">
        <f>L42*5+R42*3+(B28-B27)*2</f>
        <v>14221</v>
      </c>
    </row>
    <row r="45" spans="1:26" x14ac:dyDescent="0.3">
      <c r="H45" s="49" t="s">
        <v>266</v>
      </c>
    </row>
    <row r="46" spans="1:26" x14ac:dyDescent="0.3">
      <c r="H46" s="49"/>
    </row>
  </sheetData>
  <scenarios current="0">
    <scenario name="1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</scenario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9275-1202-4D39-80AE-27D0D6742715}">
  <dimension ref="A1:Z46"/>
  <sheetViews>
    <sheetView tabSelected="1" topLeftCell="A4" workbookViewId="0">
      <selection activeCell="D23" sqref="D23"/>
    </sheetView>
  </sheetViews>
  <sheetFormatPr defaultRowHeight="14.4" x14ac:dyDescent="0.3"/>
  <cols>
    <col min="1" max="1" width="14.109375" customWidth="1"/>
    <col min="2" max="2" width="10" customWidth="1"/>
    <col min="3" max="3" width="9.88671875" customWidth="1"/>
    <col min="4" max="4" width="11.6640625" customWidth="1"/>
    <col min="6" max="6" width="10.33203125" customWidth="1"/>
    <col min="7" max="7" width="9.77734375" customWidth="1"/>
    <col min="8" max="8" width="12.44140625" customWidth="1"/>
  </cols>
  <sheetData>
    <row r="1" spans="1:26" x14ac:dyDescent="0.3">
      <c r="A1" s="34"/>
      <c r="B1" s="35" t="s">
        <v>71</v>
      </c>
      <c r="C1" s="32"/>
      <c r="D1" s="33"/>
      <c r="F1" s="31" t="s">
        <v>72</v>
      </c>
      <c r="G1" s="32"/>
      <c r="H1" s="33"/>
      <c r="J1" s="43" t="s">
        <v>264</v>
      </c>
      <c r="K1" s="24"/>
      <c r="L1" s="24"/>
      <c r="M1" s="24"/>
      <c r="N1" s="24"/>
      <c r="O1" s="25"/>
      <c r="Q1" s="31" t="s">
        <v>265</v>
      </c>
      <c r="R1" s="32"/>
      <c r="S1" s="32"/>
      <c r="T1" s="32"/>
      <c r="U1" s="32"/>
      <c r="V1" s="33"/>
    </row>
    <row r="2" spans="1:26" x14ac:dyDescent="0.3">
      <c r="A2" s="36" t="s">
        <v>22</v>
      </c>
      <c r="B2" s="21" t="s">
        <v>15</v>
      </c>
      <c r="C2" s="21" t="s">
        <v>16</v>
      </c>
      <c r="D2" s="37" t="s">
        <v>17</v>
      </c>
      <c r="F2" s="36" t="s">
        <v>15</v>
      </c>
      <c r="G2" s="22" t="s">
        <v>16</v>
      </c>
      <c r="H2" s="41" t="s">
        <v>17</v>
      </c>
      <c r="J2" s="26" t="s">
        <v>12</v>
      </c>
      <c r="K2" s="1" t="s">
        <v>75</v>
      </c>
      <c r="L2" s="1" t="s">
        <v>13</v>
      </c>
      <c r="M2" s="1" t="s">
        <v>75</v>
      </c>
      <c r="N2" s="1" t="s">
        <v>14</v>
      </c>
      <c r="O2" s="27" t="s">
        <v>75</v>
      </c>
      <c r="Q2" s="26" t="s">
        <v>12</v>
      </c>
      <c r="R2" s="1" t="s">
        <v>75</v>
      </c>
      <c r="S2" s="1" t="s">
        <v>13</v>
      </c>
      <c r="T2" s="1" t="s">
        <v>75</v>
      </c>
      <c r="U2" s="1" t="s">
        <v>14</v>
      </c>
      <c r="V2" s="27" t="s">
        <v>75</v>
      </c>
    </row>
    <row r="3" spans="1:26" x14ac:dyDescent="0.3">
      <c r="A3" s="26">
        <v>1</v>
      </c>
      <c r="B3">
        <v>868.99999999999977</v>
      </c>
      <c r="C3">
        <v>716.53333333333319</v>
      </c>
      <c r="D3" s="38">
        <v>502.06666666666689</v>
      </c>
      <c r="F3" s="26">
        <f>ROUNDUP(B3,0)</f>
        <v>869</v>
      </c>
      <c r="G3" s="1">
        <f>ROUNDUP(C3,0)</f>
        <v>717</v>
      </c>
      <c r="H3" s="27">
        <f>ROUNDUP(D3,0)</f>
        <v>503</v>
      </c>
      <c r="J3" s="26" t="s">
        <v>108</v>
      </c>
      <c r="K3" s="1">
        <v>869</v>
      </c>
      <c r="L3" s="1" t="s">
        <v>109</v>
      </c>
      <c r="M3" s="1">
        <v>717</v>
      </c>
      <c r="N3" s="1" t="s">
        <v>110</v>
      </c>
      <c r="O3" s="27">
        <v>503</v>
      </c>
      <c r="Q3" s="45"/>
      <c r="R3" s="1">
        <v>820</v>
      </c>
      <c r="T3" s="1">
        <v>775</v>
      </c>
      <c r="V3" s="27">
        <v>502</v>
      </c>
    </row>
    <row r="4" spans="1:26" x14ac:dyDescent="0.3">
      <c r="A4" s="26">
        <v>2</v>
      </c>
      <c r="B4">
        <v>983.66666666666652</v>
      </c>
      <c r="C4">
        <v>759.86666666666656</v>
      </c>
      <c r="D4" s="38">
        <v>547.4000000000002</v>
      </c>
      <c r="F4" s="26">
        <f t="shared" ref="F4:H12" si="0">ROUNDUP(B4,0)</f>
        <v>984</v>
      </c>
      <c r="G4" s="1">
        <f t="shared" si="0"/>
        <v>760</v>
      </c>
      <c r="H4" s="27">
        <f t="shared" si="0"/>
        <v>548</v>
      </c>
      <c r="J4" s="26" t="s">
        <v>111</v>
      </c>
      <c r="K4" s="1">
        <v>984</v>
      </c>
      <c r="L4" s="1" t="s">
        <v>112</v>
      </c>
      <c r="M4" s="1">
        <v>760</v>
      </c>
      <c r="N4" s="1" t="s">
        <v>113</v>
      </c>
      <c r="O4" s="27">
        <v>548</v>
      </c>
      <c r="Q4" s="45"/>
      <c r="R4" s="1">
        <v>995</v>
      </c>
      <c r="T4" s="1">
        <v>801</v>
      </c>
      <c r="V4" s="27">
        <v>559</v>
      </c>
    </row>
    <row r="5" spans="1:26" x14ac:dyDescent="0.3">
      <c r="A5" s="26">
        <v>3</v>
      </c>
      <c r="B5">
        <v>757.66666666666629</v>
      </c>
      <c r="C5">
        <v>946.20000000000016</v>
      </c>
      <c r="D5" s="38">
        <v>684.73333333333369</v>
      </c>
      <c r="F5" s="26">
        <f t="shared" si="0"/>
        <v>758</v>
      </c>
      <c r="G5" s="1">
        <f t="shared" si="0"/>
        <v>947</v>
      </c>
      <c r="H5" s="27">
        <f t="shared" si="0"/>
        <v>685</v>
      </c>
      <c r="J5" s="26" t="s">
        <v>114</v>
      </c>
      <c r="K5" s="1">
        <v>758</v>
      </c>
      <c r="L5" s="1" t="s">
        <v>115</v>
      </c>
      <c r="M5" s="1">
        <v>947</v>
      </c>
      <c r="N5" s="1" t="s">
        <v>116</v>
      </c>
      <c r="O5" s="27">
        <v>685</v>
      </c>
      <c r="Q5" s="45"/>
      <c r="R5" s="1">
        <v>720</v>
      </c>
      <c r="T5" s="1">
        <v>895</v>
      </c>
      <c r="V5" s="27">
        <v>693</v>
      </c>
    </row>
    <row r="6" spans="1:26" x14ac:dyDescent="0.3">
      <c r="A6" s="26">
        <v>4</v>
      </c>
      <c r="B6">
        <v>1032.333333333333</v>
      </c>
      <c r="C6">
        <v>826.19999999999982</v>
      </c>
      <c r="D6" s="38">
        <v>711.4000000000002</v>
      </c>
      <c r="F6" s="26">
        <f t="shared" si="0"/>
        <v>1033</v>
      </c>
      <c r="G6" s="1">
        <f t="shared" si="0"/>
        <v>827</v>
      </c>
      <c r="H6" s="27">
        <f t="shared" si="0"/>
        <v>712</v>
      </c>
      <c r="J6" s="26" t="s">
        <v>117</v>
      </c>
      <c r="K6" s="1">
        <v>1033</v>
      </c>
      <c r="L6" s="1" t="s">
        <v>118</v>
      </c>
      <c r="M6" s="1">
        <v>827</v>
      </c>
      <c r="N6" s="1" t="s">
        <v>119</v>
      </c>
      <c r="O6" s="27">
        <v>712</v>
      </c>
      <c r="Q6" s="45"/>
      <c r="R6" s="1">
        <v>1010</v>
      </c>
      <c r="T6" s="1">
        <v>900</v>
      </c>
      <c r="V6" s="27">
        <v>701</v>
      </c>
    </row>
    <row r="7" spans="1:26" x14ac:dyDescent="0.3">
      <c r="A7" s="26">
        <v>5</v>
      </c>
      <c r="B7">
        <v>674</v>
      </c>
      <c r="C7">
        <v>813.19999999999982</v>
      </c>
      <c r="D7" s="38">
        <v>598.06666666666695</v>
      </c>
      <c r="F7" s="26">
        <f t="shared" si="0"/>
        <v>674</v>
      </c>
      <c r="G7" s="1">
        <f t="shared" si="0"/>
        <v>814</v>
      </c>
      <c r="H7" s="27">
        <f t="shared" si="0"/>
        <v>599</v>
      </c>
      <c r="J7" s="26" t="s">
        <v>120</v>
      </c>
      <c r="K7" s="1">
        <v>674</v>
      </c>
      <c r="L7" s="1" t="s">
        <v>121</v>
      </c>
      <c r="M7" s="1">
        <v>814</v>
      </c>
      <c r="N7" s="1" t="s">
        <v>122</v>
      </c>
      <c r="O7" s="27">
        <v>599</v>
      </c>
      <c r="Q7" s="45"/>
      <c r="R7" s="1">
        <v>721</v>
      </c>
      <c r="T7" s="1">
        <v>833</v>
      </c>
      <c r="V7" s="27">
        <v>608</v>
      </c>
    </row>
    <row r="8" spans="1:26" x14ac:dyDescent="0.3">
      <c r="A8" s="26">
        <v>6</v>
      </c>
      <c r="B8">
        <v>693.99999999999977</v>
      </c>
      <c r="C8">
        <v>721.53333333333319</v>
      </c>
      <c r="D8" s="38">
        <v>405.06666666666689</v>
      </c>
      <c r="F8" s="26">
        <f t="shared" si="0"/>
        <v>694</v>
      </c>
      <c r="G8" s="1">
        <f t="shared" si="0"/>
        <v>722</v>
      </c>
      <c r="H8" s="27">
        <f t="shared" si="0"/>
        <v>406</v>
      </c>
      <c r="J8" s="26" t="s">
        <v>123</v>
      </c>
      <c r="K8" s="1">
        <v>694</v>
      </c>
      <c r="L8" s="1" t="s">
        <v>124</v>
      </c>
      <c r="M8" s="1">
        <v>722</v>
      </c>
      <c r="N8" s="1" t="s">
        <v>125</v>
      </c>
      <c r="O8" s="27">
        <v>406</v>
      </c>
      <c r="Q8" s="45"/>
      <c r="R8" s="1">
        <v>712</v>
      </c>
      <c r="T8" s="1">
        <v>700</v>
      </c>
      <c r="V8" s="27">
        <v>411</v>
      </c>
    </row>
    <row r="9" spans="1:26" x14ac:dyDescent="0.3">
      <c r="A9" s="26">
        <v>7</v>
      </c>
      <c r="B9">
        <v>729.99999999999977</v>
      </c>
      <c r="C9">
        <v>596.86666666666656</v>
      </c>
      <c r="D9" s="38">
        <v>336.40000000000026</v>
      </c>
      <c r="F9" s="26">
        <f t="shared" si="0"/>
        <v>730</v>
      </c>
      <c r="G9" s="1">
        <f t="shared" si="0"/>
        <v>597</v>
      </c>
      <c r="H9" s="27">
        <f t="shared" si="0"/>
        <v>337</v>
      </c>
      <c r="J9" s="26" t="s">
        <v>126</v>
      </c>
      <c r="K9" s="1">
        <v>730</v>
      </c>
      <c r="L9" s="1" t="s">
        <v>127</v>
      </c>
      <c r="M9" s="1">
        <v>597</v>
      </c>
      <c r="N9" s="1" t="s">
        <v>128</v>
      </c>
      <c r="O9" s="27">
        <v>337</v>
      </c>
      <c r="Q9" s="45"/>
      <c r="R9" s="1">
        <v>760</v>
      </c>
      <c r="T9" s="1">
        <v>596</v>
      </c>
      <c r="V9" s="27">
        <v>321</v>
      </c>
    </row>
    <row r="10" spans="1:26" x14ac:dyDescent="0.3">
      <c r="A10" s="26">
        <v>8</v>
      </c>
      <c r="B10">
        <v>646.33333333333326</v>
      </c>
      <c r="C10">
        <v>706.5333333333333</v>
      </c>
      <c r="D10" s="38">
        <v>532.06666666666695</v>
      </c>
      <c r="F10" s="26">
        <f t="shared" si="0"/>
        <v>647</v>
      </c>
      <c r="G10" s="1">
        <f t="shared" si="0"/>
        <v>707</v>
      </c>
      <c r="H10" s="27">
        <f t="shared" si="0"/>
        <v>533</v>
      </c>
      <c r="J10" s="26" t="s">
        <v>129</v>
      </c>
      <c r="K10" s="1">
        <v>647</v>
      </c>
      <c r="L10" s="1" t="s">
        <v>130</v>
      </c>
      <c r="M10" s="1">
        <v>707</v>
      </c>
      <c r="N10" s="1" t="s">
        <v>131</v>
      </c>
      <c r="O10" s="27">
        <v>533</v>
      </c>
      <c r="Q10" s="45"/>
      <c r="R10" s="1">
        <v>622</v>
      </c>
      <c r="T10" s="1">
        <v>700</v>
      </c>
      <c r="V10" s="27">
        <v>546</v>
      </c>
    </row>
    <row r="11" spans="1:26" x14ac:dyDescent="0.3">
      <c r="A11" s="26">
        <v>9</v>
      </c>
      <c r="B11">
        <v>846.66666666666629</v>
      </c>
      <c r="C11">
        <v>878.5333333333333</v>
      </c>
      <c r="D11" s="38">
        <v>746.06666666666695</v>
      </c>
      <c r="F11" s="26">
        <f t="shared" si="0"/>
        <v>847</v>
      </c>
      <c r="G11" s="1">
        <f t="shared" si="0"/>
        <v>879</v>
      </c>
      <c r="H11" s="27">
        <f t="shared" si="0"/>
        <v>747</v>
      </c>
      <c r="J11" s="26" t="s">
        <v>132</v>
      </c>
      <c r="K11" s="1">
        <v>847</v>
      </c>
      <c r="L11" s="1" t="s">
        <v>133</v>
      </c>
      <c r="M11" s="1">
        <v>879</v>
      </c>
      <c r="N11" s="1" t="s">
        <v>134</v>
      </c>
      <c r="O11" s="27">
        <v>747</v>
      </c>
      <c r="Q11" s="45"/>
      <c r="R11" s="1">
        <v>810</v>
      </c>
      <c r="T11" s="1">
        <v>875</v>
      </c>
      <c r="V11" s="27">
        <v>761</v>
      </c>
    </row>
    <row r="12" spans="1:26" x14ac:dyDescent="0.3">
      <c r="A12" s="28">
        <v>10</v>
      </c>
      <c r="B12" s="39">
        <v>1312.3333333333335</v>
      </c>
      <c r="C12" s="39">
        <v>1119.5333333333333</v>
      </c>
      <c r="D12" s="40">
        <v>1002.7333333333337</v>
      </c>
      <c r="F12" s="28">
        <f t="shared" si="0"/>
        <v>1313</v>
      </c>
      <c r="G12" s="29">
        <f t="shared" si="0"/>
        <v>1120</v>
      </c>
      <c r="H12" s="30">
        <f t="shared" si="0"/>
        <v>1003</v>
      </c>
      <c r="J12" s="28" t="s">
        <v>135</v>
      </c>
      <c r="K12" s="29">
        <v>1313</v>
      </c>
      <c r="L12" s="29" t="s">
        <v>136</v>
      </c>
      <c r="M12" s="29">
        <v>1120</v>
      </c>
      <c r="N12" s="29" t="s">
        <v>137</v>
      </c>
      <c r="O12" s="30">
        <v>1003</v>
      </c>
      <c r="Q12" s="46"/>
      <c r="R12" s="29">
        <v>1376</v>
      </c>
      <c r="S12" s="39"/>
      <c r="T12" s="29">
        <v>1010</v>
      </c>
      <c r="U12" s="39"/>
      <c r="V12" s="30">
        <v>964</v>
      </c>
    </row>
    <row r="14" spans="1:26" x14ac:dyDescent="0.3">
      <c r="A14" s="31" t="s">
        <v>74</v>
      </c>
      <c r="B14" s="32"/>
      <c r="C14" s="32"/>
      <c r="D14" s="32"/>
      <c r="E14" s="32"/>
      <c r="F14" s="33"/>
    </row>
    <row r="15" spans="1:26" x14ac:dyDescent="0.3">
      <c r="A15" s="26" t="s">
        <v>12</v>
      </c>
      <c r="B15" s="1" t="s">
        <v>75</v>
      </c>
      <c r="C15" s="1" t="s">
        <v>13</v>
      </c>
      <c r="D15" s="1" t="s">
        <v>75</v>
      </c>
      <c r="E15" s="1" t="s">
        <v>14</v>
      </c>
      <c r="F15" s="27" t="s">
        <v>75</v>
      </c>
      <c r="G15" s="1"/>
      <c r="H15" s="42" t="s">
        <v>138</v>
      </c>
      <c r="I15" s="24"/>
      <c r="J15" s="24"/>
      <c r="K15" s="24"/>
      <c r="L15" s="24"/>
      <c r="M15" s="25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26" t="s">
        <v>76</v>
      </c>
      <c r="B16" s="1">
        <v>814</v>
      </c>
      <c r="C16" s="1" t="s">
        <v>77</v>
      </c>
      <c r="D16" s="1">
        <v>634</v>
      </c>
      <c r="E16" s="1" t="s">
        <v>78</v>
      </c>
      <c r="F16" s="27">
        <v>393</v>
      </c>
      <c r="G16" s="1"/>
      <c r="H16" s="26" t="s">
        <v>12</v>
      </c>
      <c r="I16" s="1" t="s">
        <v>75</v>
      </c>
      <c r="J16" s="1" t="s">
        <v>13</v>
      </c>
      <c r="K16" s="1" t="s">
        <v>75</v>
      </c>
      <c r="L16" s="1" t="s">
        <v>14</v>
      </c>
      <c r="M16" s="27" t="s">
        <v>75</v>
      </c>
      <c r="N16" s="1"/>
      <c r="O16" s="42" t="s">
        <v>169</v>
      </c>
      <c r="P16" s="24"/>
      <c r="Q16" s="24"/>
      <c r="R16" s="24"/>
      <c r="S16" s="23"/>
      <c r="T16" s="24"/>
      <c r="U16" s="24"/>
      <c r="V16" s="25"/>
      <c r="W16" s="24"/>
      <c r="X16" s="24"/>
      <c r="Y16" s="24"/>
      <c r="Z16" s="25"/>
    </row>
    <row r="17" spans="1:26" x14ac:dyDescent="0.3">
      <c r="A17" s="26" t="s">
        <v>79</v>
      </c>
      <c r="B17" s="1">
        <v>935</v>
      </c>
      <c r="C17" s="1" t="s">
        <v>80</v>
      </c>
      <c r="D17" s="1">
        <v>760</v>
      </c>
      <c r="E17" s="1" t="s">
        <v>81</v>
      </c>
      <c r="F17" s="27">
        <v>547</v>
      </c>
      <c r="G17" s="1"/>
      <c r="H17" s="26" t="s">
        <v>139</v>
      </c>
      <c r="I17" s="1">
        <v>55</v>
      </c>
      <c r="J17" s="1" t="s">
        <v>140</v>
      </c>
      <c r="K17" s="1">
        <v>83</v>
      </c>
      <c r="L17" s="1" t="s">
        <v>141</v>
      </c>
      <c r="M17" s="27">
        <v>110</v>
      </c>
      <c r="N17" s="1"/>
      <c r="O17" s="28" t="s">
        <v>12</v>
      </c>
      <c r="P17" s="29" t="s">
        <v>75</v>
      </c>
      <c r="Q17" s="29"/>
      <c r="R17" s="29"/>
      <c r="S17" s="28" t="s">
        <v>13</v>
      </c>
      <c r="T17" s="29" t="s">
        <v>75</v>
      </c>
      <c r="U17" s="29"/>
      <c r="V17" s="30"/>
      <c r="W17" s="29" t="s">
        <v>14</v>
      </c>
      <c r="X17" s="29" t="s">
        <v>75</v>
      </c>
      <c r="Y17" s="29"/>
      <c r="Z17" s="30"/>
    </row>
    <row r="18" spans="1:26" x14ac:dyDescent="0.3">
      <c r="A18" s="26" t="s">
        <v>82</v>
      </c>
      <c r="B18" s="1">
        <v>745</v>
      </c>
      <c r="C18" s="1" t="s">
        <v>83</v>
      </c>
      <c r="D18" s="1">
        <v>947</v>
      </c>
      <c r="E18" s="1" t="s">
        <v>84</v>
      </c>
      <c r="F18" s="27">
        <v>685</v>
      </c>
      <c r="G18" s="1"/>
      <c r="H18" s="26" t="s">
        <v>142</v>
      </c>
      <c r="I18" s="1">
        <f>MAX(0,B16+I17-R3)</f>
        <v>49</v>
      </c>
      <c r="J18" s="1" t="s">
        <v>143</v>
      </c>
      <c r="K18" s="1">
        <f>MAX(0,D16+K17-T3)</f>
        <v>0</v>
      </c>
      <c r="L18" s="1" t="s">
        <v>144</v>
      </c>
      <c r="M18" s="27">
        <f>MAX(0,F16+M17-V3)</f>
        <v>1</v>
      </c>
      <c r="N18" s="1"/>
      <c r="O18" s="23" t="s">
        <v>170</v>
      </c>
      <c r="P18" s="24">
        <v>150</v>
      </c>
      <c r="Q18" s="24" t="s">
        <v>171</v>
      </c>
      <c r="R18" s="25">
        <v>1000</v>
      </c>
      <c r="S18" s="23" t="s">
        <v>172</v>
      </c>
      <c r="T18" s="24">
        <v>150</v>
      </c>
      <c r="U18" s="24" t="s">
        <v>173</v>
      </c>
      <c r="V18" s="25">
        <v>1000</v>
      </c>
      <c r="W18" s="23" t="s">
        <v>174</v>
      </c>
      <c r="X18" s="24">
        <v>150</v>
      </c>
      <c r="Y18" s="24" t="s">
        <v>175</v>
      </c>
      <c r="Z18" s="25">
        <v>1000</v>
      </c>
    </row>
    <row r="19" spans="1:26" x14ac:dyDescent="0.3">
      <c r="A19" s="26" t="s">
        <v>85</v>
      </c>
      <c r="B19" s="1">
        <v>1000</v>
      </c>
      <c r="C19" s="1" t="s">
        <v>86</v>
      </c>
      <c r="D19" s="1">
        <v>775</v>
      </c>
      <c r="E19" s="1" t="s">
        <v>87</v>
      </c>
      <c r="F19" s="27">
        <v>712</v>
      </c>
      <c r="G19" s="1"/>
      <c r="H19" s="26" t="s">
        <v>145</v>
      </c>
      <c r="I19" s="1">
        <f t="shared" ref="I19:I27" si="1">MAX(0,B17+I18-R4)</f>
        <v>0</v>
      </c>
      <c r="J19" s="1" t="s">
        <v>146</v>
      </c>
      <c r="K19" s="1">
        <f t="shared" ref="K19:K27" si="2">MAX(0,D17+K18-T4)</f>
        <v>0</v>
      </c>
      <c r="L19" s="1" t="s">
        <v>147</v>
      </c>
      <c r="M19" s="27">
        <f t="shared" ref="M19:M27" si="3">MAX(0,F17+M18-V4)</f>
        <v>0</v>
      </c>
      <c r="N19" s="1"/>
      <c r="O19" s="26" t="s">
        <v>176</v>
      </c>
      <c r="P19" s="1">
        <v>150</v>
      </c>
      <c r="Q19" s="1" t="s">
        <v>177</v>
      </c>
      <c r="R19" s="27">
        <v>1000</v>
      </c>
      <c r="S19" s="26" t="s">
        <v>178</v>
      </c>
      <c r="T19" s="1">
        <v>150</v>
      </c>
      <c r="U19" s="1" t="s">
        <v>179</v>
      </c>
      <c r="V19" s="27">
        <v>1000</v>
      </c>
      <c r="W19" s="26" t="s">
        <v>180</v>
      </c>
      <c r="X19" s="1">
        <v>150</v>
      </c>
      <c r="Y19" s="1" t="s">
        <v>181</v>
      </c>
      <c r="Z19" s="27">
        <v>1000</v>
      </c>
    </row>
    <row r="20" spans="1:26" x14ac:dyDescent="0.3">
      <c r="A20" s="26" t="s">
        <v>88</v>
      </c>
      <c r="B20" s="1">
        <v>658</v>
      </c>
      <c r="C20" s="1" t="s">
        <v>89</v>
      </c>
      <c r="D20" s="1">
        <v>814</v>
      </c>
      <c r="E20" s="1" t="s">
        <v>90</v>
      </c>
      <c r="F20" s="27">
        <v>588</v>
      </c>
      <c r="G20" s="1"/>
      <c r="H20" s="26" t="s">
        <v>148</v>
      </c>
      <c r="I20" s="1">
        <f t="shared" si="1"/>
        <v>25</v>
      </c>
      <c r="J20" s="1" t="s">
        <v>149</v>
      </c>
      <c r="K20" s="1">
        <f t="shared" si="2"/>
        <v>52</v>
      </c>
      <c r="L20" s="1" t="s">
        <v>150</v>
      </c>
      <c r="M20" s="27">
        <f t="shared" si="3"/>
        <v>0</v>
      </c>
      <c r="N20" s="1"/>
      <c r="O20" s="26" t="s">
        <v>182</v>
      </c>
      <c r="P20" s="1">
        <v>150</v>
      </c>
      <c r="Q20" s="1" t="s">
        <v>183</v>
      </c>
      <c r="R20" s="27">
        <v>1000</v>
      </c>
      <c r="S20" s="26" t="s">
        <v>184</v>
      </c>
      <c r="T20" s="1">
        <v>150</v>
      </c>
      <c r="U20" s="1" t="s">
        <v>185</v>
      </c>
      <c r="V20" s="27">
        <v>1000</v>
      </c>
      <c r="W20" s="26" t="s">
        <v>186</v>
      </c>
      <c r="X20" s="1">
        <v>150</v>
      </c>
      <c r="Y20" s="1" t="s">
        <v>187</v>
      </c>
      <c r="Z20" s="27">
        <v>1000</v>
      </c>
    </row>
    <row r="21" spans="1:26" x14ac:dyDescent="0.3">
      <c r="A21" s="26" t="s">
        <v>91</v>
      </c>
      <c r="B21" s="1">
        <v>694</v>
      </c>
      <c r="C21" s="1" t="s">
        <v>92</v>
      </c>
      <c r="D21" s="1">
        <v>722</v>
      </c>
      <c r="E21" s="1" t="s">
        <v>93</v>
      </c>
      <c r="F21" s="27">
        <v>406</v>
      </c>
      <c r="G21" s="1"/>
      <c r="H21" s="26" t="s">
        <v>151</v>
      </c>
      <c r="I21" s="1">
        <f t="shared" si="1"/>
        <v>15</v>
      </c>
      <c r="J21" s="1" t="s">
        <v>152</v>
      </c>
      <c r="K21" s="1">
        <f t="shared" si="2"/>
        <v>0</v>
      </c>
      <c r="L21" s="1" t="s">
        <v>153</v>
      </c>
      <c r="M21" s="27">
        <f t="shared" si="3"/>
        <v>11</v>
      </c>
      <c r="N21" s="1"/>
      <c r="O21" s="26" t="s">
        <v>188</v>
      </c>
      <c r="P21" s="1">
        <v>150</v>
      </c>
      <c r="Q21" s="1" t="s">
        <v>189</v>
      </c>
      <c r="R21" s="27">
        <v>1000</v>
      </c>
      <c r="S21" s="26" t="s">
        <v>190</v>
      </c>
      <c r="T21" s="1">
        <v>150</v>
      </c>
      <c r="U21" s="1" t="s">
        <v>191</v>
      </c>
      <c r="V21" s="27">
        <v>1000</v>
      </c>
      <c r="W21" s="26" t="s">
        <v>192</v>
      </c>
      <c r="X21" s="1">
        <v>150</v>
      </c>
      <c r="Y21" s="1" t="s">
        <v>193</v>
      </c>
      <c r="Z21" s="27">
        <v>1000</v>
      </c>
    </row>
    <row r="22" spans="1:26" x14ac:dyDescent="0.3">
      <c r="A22" s="26" t="s">
        <v>94</v>
      </c>
      <c r="B22" s="1">
        <v>730</v>
      </c>
      <c r="C22" s="1" t="s">
        <v>95</v>
      </c>
      <c r="D22" s="1">
        <v>575</v>
      </c>
      <c r="E22" s="1" t="s">
        <v>96</v>
      </c>
      <c r="F22" s="27">
        <v>232</v>
      </c>
      <c r="G22" s="1"/>
      <c r="H22" s="26" t="s">
        <v>154</v>
      </c>
      <c r="I22" s="1">
        <f t="shared" si="1"/>
        <v>0</v>
      </c>
      <c r="J22" s="1" t="s">
        <v>155</v>
      </c>
      <c r="K22" s="1">
        <f t="shared" si="2"/>
        <v>0</v>
      </c>
      <c r="L22" s="1" t="s">
        <v>156</v>
      </c>
      <c r="M22" s="27">
        <f t="shared" si="3"/>
        <v>0</v>
      </c>
      <c r="N22" s="1"/>
      <c r="O22" s="26" t="s">
        <v>194</v>
      </c>
      <c r="P22" s="1">
        <v>150</v>
      </c>
      <c r="Q22" s="1" t="s">
        <v>195</v>
      </c>
      <c r="R22" s="27">
        <v>1000</v>
      </c>
      <c r="S22" s="26" t="s">
        <v>196</v>
      </c>
      <c r="T22" s="1">
        <v>150</v>
      </c>
      <c r="U22" s="1" t="s">
        <v>197</v>
      </c>
      <c r="V22" s="27">
        <v>1000</v>
      </c>
      <c r="W22" s="26" t="s">
        <v>198</v>
      </c>
      <c r="X22" s="1">
        <v>150</v>
      </c>
      <c r="Y22" s="1" t="s">
        <v>199</v>
      </c>
      <c r="Z22" s="27">
        <v>1000</v>
      </c>
    </row>
    <row r="23" spans="1:26" x14ac:dyDescent="0.3">
      <c r="A23" s="26" t="s">
        <v>97</v>
      </c>
      <c r="B23" s="1">
        <v>647</v>
      </c>
      <c r="C23" s="1" t="s">
        <v>98</v>
      </c>
      <c r="D23" s="1">
        <v>700</v>
      </c>
      <c r="E23" s="1" t="s">
        <v>99</v>
      </c>
      <c r="F23" s="27">
        <v>196</v>
      </c>
      <c r="G23" s="1"/>
      <c r="H23" s="26" t="s">
        <v>157</v>
      </c>
      <c r="I23" s="1">
        <f t="shared" si="1"/>
        <v>0</v>
      </c>
      <c r="J23" s="1" t="s">
        <v>158</v>
      </c>
      <c r="K23" s="1">
        <f t="shared" si="2"/>
        <v>22</v>
      </c>
      <c r="L23" s="1" t="s">
        <v>159</v>
      </c>
      <c r="M23" s="27">
        <f t="shared" si="3"/>
        <v>0</v>
      </c>
      <c r="N23" s="1"/>
      <c r="O23" s="26" t="s">
        <v>200</v>
      </c>
      <c r="P23" s="1">
        <v>150</v>
      </c>
      <c r="Q23" s="1" t="s">
        <v>201</v>
      </c>
      <c r="R23" s="27">
        <v>1000</v>
      </c>
      <c r="S23" s="26" t="s">
        <v>202</v>
      </c>
      <c r="T23" s="1">
        <v>150</v>
      </c>
      <c r="U23" s="1" t="s">
        <v>203</v>
      </c>
      <c r="V23" s="27">
        <v>1000</v>
      </c>
      <c r="W23" s="26" t="s">
        <v>204</v>
      </c>
      <c r="X23" s="1">
        <v>150</v>
      </c>
      <c r="Y23" s="1" t="s">
        <v>205</v>
      </c>
      <c r="Z23" s="27">
        <v>1000</v>
      </c>
    </row>
    <row r="24" spans="1:26" x14ac:dyDescent="0.3">
      <c r="A24" s="26" t="s">
        <v>100</v>
      </c>
      <c r="B24" s="1">
        <v>822</v>
      </c>
      <c r="C24" s="1" t="s">
        <v>101</v>
      </c>
      <c r="D24" s="1">
        <v>877</v>
      </c>
      <c r="E24" s="1" t="s">
        <v>102</v>
      </c>
      <c r="F24" s="27">
        <v>196</v>
      </c>
      <c r="G24" s="1"/>
      <c r="H24" s="26" t="s">
        <v>160</v>
      </c>
      <c r="I24" s="1">
        <f t="shared" si="1"/>
        <v>0</v>
      </c>
      <c r="J24" s="1" t="s">
        <v>161</v>
      </c>
      <c r="K24" s="1">
        <f t="shared" si="2"/>
        <v>1</v>
      </c>
      <c r="L24" s="1" t="s">
        <v>162</v>
      </c>
      <c r="M24" s="27">
        <f t="shared" si="3"/>
        <v>0</v>
      </c>
      <c r="N24" s="1"/>
      <c r="O24" s="26" t="s">
        <v>206</v>
      </c>
      <c r="P24" s="1">
        <v>150</v>
      </c>
      <c r="Q24" s="1" t="s">
        <v>207</v>
      </c>
      <c r="R24" s="27">
        <v>1000</v>
      </c>
      <c r="S24" s="26" t="s">
        <v>208</v>
      </c>
      <c r="T24" s="1">
        <v>150</v>
      </c>
      <c r="U24" s="1" t="s">
        <v>209</v>
      </c>
      <c r="V24" s="27">
        <v>1000</v>
      </c>
      <c r="W24" s="26" t="s">
        <v>210</v>
      </c>
      <c r="X24" s="1">
        <v>150</v>
      </c>
      <c r="Y24" s="1" t="s">
        <v>211</v>
      </c>
      <c r="Z24" s="27">
        <v>1000</v>
      </c>
    </row>
    <row r="25" spans="1:26" x14ac:dyDescent="0.3">
      <c r="A25" s="28" t="s">
        <v>103</v>
      </c>
      <c r="B25" s="29">
        <v>1000</v>
      </c>
      <c r="C25" s="29" t="s">
        <v>104</v>
      </c>
      <c r="D25" s="29">
        <v>1000</v>
      </c>
      <c r="E25" s="29" t="s">
        <v>105</v>
      </c>
      <c r="F25" s="30">
        <v>196</v>
      </c>
      <c r="G25" s="1"/>
      <c r="H25" s="26" t="s">
        <v>163</v>
      </c>
      <c r="I25" s="1">
        <f t="shared" si="1"/>
        <v>25</v>
      </c>
      <c r="J25" s="1" t="s">
        <v>164</v>
      </c>
      <c r="K25" s="1">
        <f t="shared" si="2"/>
        <v>1</v>
      </c>
      <c r="L25" s="1" t="s">
        <v>165</v>
      </c>
      <c r="M25" s="27">
        <f t="shared" si="3"/>
        <v>0</v>
      </c>
      <c r="N25" s="1"/>
      <c r="O25" s="26" t="s">
        <v>212</v>
      </c>
      <c r="P25" s="1">
        <v>150</v>
      </c>
      <c r="Q25" s="1" t="s">
        <v>213</v>
      </c>
      <c r="R25" s="27">
        <v>1000</v>
      </c>
      <c r="S25" s="26" t="s">
        <v>214</v>
      </c>
      <c r="T25" s="1">
        <v>150</v>
      </c>
      <c r="U25" s="1" t="s">
        <v>215</v>
      </c>
      <c r="V25" s="27">
        <v>1000</v>
      </c>
      <c r="W25" s="26" t="s">
        <v>216</v>
      </c>
      <c r="X25" s="1">
        <v>150</v>
      </c>
      <c r="Y25" s="1" t="s">
        <v>217</v>
      </c>
      <c r="Z25" s="27">
        <v>1000</v>
      </c>
    </row>
    <row r="26" spans="1:26" x14ac:dyDescent="0.3">
      <c r="A26" s="1"/>
      <c r="B26" s="1"/>
      <c r="C26" s="1"/>
      <c r="D26" s="1"/>
      <c r="E26" s="1"/>
      <c r="F26" s="1"/>
      <c r="G26" s="1"/>
      <c r="H26" s="28" t="s">
        <v>166</v>
      </c>
      <c r="I26" s="29">
        <f t="shared" si="1"/>
        <v>37</v>
      </c>
      <c r="J26" s="29" t="s">
        <v>167</v>
      </c>
      <c r="K26" s="29">
        <f t="shared" si="2"/>
        <v>3</v>
      </c>
      <c r="L26" s="29" t="s">
        <v>168</v>
      </c>
      <c r="M26" s="30">
        <f t="shared" si="3"/>
        <v>0</v>
      </c>
      <c r="N26" s="1"/>
      <c r="O26" s="26" t="s">
        <v>218</v>
      </c>
      <c r="P26" s="1">
        <v>150</v>
      </c>
      <c r="Q26" s="1" t="s">
        <v>219</v>
      </c>
      <c r="R26" s="27">
        <v>1000</v>
      </c>
      <c r="S26" s="26" t="s">
        <v>220</v>
      </c>
      <c r="T26" s="1">
        <v>150</v>
      </c>
      <c r="U26" s="1" t="s">
        <v>221</v>
      </c>
      <c r="V26" s="27">
        <v>1000</v>
      </c>
      <c r="W26" s="26" t="s">
        <v>222</v>
      </c>
      <c r="X26" s="1">
        <v>150</v>
      </c>
      <c r="Y26" s="1" t="s">
        <v>223</v>
      </c>
      <c r="Z26" s="27">
        <v>1000</v>
      </c>
    </row>
    <row r="27" spans="1:26" x14ac:dyDescent="0.3">
      <c r="A27" s="22" t="s">
        <v>106</v>
      </c>
      <c r="B27" s="48">
        <f>SUM(B16:B25,D16:D25,F16:F25)</f>
        <v>20000</v>
      </c>
      <c r="C27" s="1"/>
      <c r="D27" s="1"/>
      <c r="E27" s="1"/>
      <c r="F27" s="1"/>
      <c r="G27" s="1"/>
      <c r="H27" s="1"/>
      <c r="I27" s="1">
        <f t="shared" si="1"/>
        <v>0</v>
      </c>
      <c r="J27" s="1"/>
      <c r="K27" s="1">
        <f t="shared" si="2"/>
        <v>0</v>
      </c>
      <c r="L27" s="1"/>
      <c r="M27" s="1">
        <f t="shared" si="3"/>
        <v>0</v>
      </c>
      <c r="N27" s="1"/>
      <c r="O27" s="28" t="s">
        <v>224</v>
      </c>
      <c r="P27" s="29">
        <v>150</v>
      </c>
      <c r="Q27" s="29" t="s">
        <v>225</v>
      </c>
      <c r="R27" s="30">
        <v>1000</v>
      </c>
      <c r="S27" s="28" t="s">
        <v>226</v>
      </c>
      <c r="T27" s="29">
        <v>150</v>
      </c>
      <c r="U27" s="29" t="s">
        <v>227</v>
      </c>
      <c r="V27" s="30">
        <v>1000</v>
      </c>
      <c r="W27" s="28" t="s">
        <v>228</v>
      </c>
      <c r="X27" s="29">
        <v>150</v>
      </c>
      <c r="Y27" s="29" t="s">
        <v>229</v>
      </c>
      <c r="Z27" s="30">
        <v>1000</v>
      </c>
    </row>
    <row r="28" spans="1:26" x14ac:dyDescent="0.3">
      <c r="A28" s="22" t="s">
        <v>107</v>
      </c>
      <c r="B28" s="1">
        <v>20000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23"/>
      <c r="I30" s="44" t="s">
        <v>230</v>
      </c>
      <c r="J30" s="24"/>
      <c r="K30" s="24"/>
      <c r="L30" s="25"/>
      <c r="N30" s="34"/>
      <c r="O30" s="47" t="s">
        <v>231</v>
      </c>
      <c r="P30" s="24"/>
      <c r="Q30" s="24"/>
      <c r="R30" s="25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26"/>
      <c r="I31" s="1" t="s">
        <v>12</v>
      </c>
      <c r="J31" s="1" t="s">
        <v>13</v>
      </c>
      <c r="K31" s="1" t="s">
        <v>14</v>
      </c>
      <c r="L31" s="27" t="s">
        <v>49</v>
      </c>
      <c r="N31" s="45"/>
      <c r="O31" s="1" t="s">
        <v>12</v>
      </c>
      <c r="P31" s="1" t="s">
        <v>13</v>
      </c>
      <c r="Q31" s="1" t="s">
        <v>14</v>
      </c>
      <c r="R31" s="27" t="s">
        <v>49</v>
      </c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26" t="s">
        <v>232</v>
      </c>
      <c r="I32" s="1">
        <f>MAX(0,R3-B16-I17)</f>
        <v>0</v>
      </c>
      <c r="J32" s="1">
        <f>MAX(0,T3-D16-K17)</f>
        <v>58</v>
      </c>
      <c r="K32" s="1">
        <f>MAX(0,V3-F16-M17)</f>
        <v>0</v>
      </c>
      <c r="L32" s="27">
        <f>SUM(I32:K32)</f>
        <v>58</v>
      </c>
      <c r="N32" s="26" t="s">
        <v>232</v>
      </c>
      <c r="O32" s="1">
        <f>MAX(0,-R3+B16+I17)</f>
        <v>49</v>
      </c>
      <c r="P32" s="1">
        <f>MAX(0,-T3+D16+K17)</f>
        <v>0</v>
      </c>
      <c r="Q32" s="1">
        <f>MAX(0,-V3+F16+M17)</f>
        <v>1</v>
      </c>
      <c r="R32" s="27">
        <f>SUM(O32:Q32)</f>
        <v>50</v>
      </c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43" t="s">
        <v>242</v>
      </c>
      <c r="B33" s="24"/>
      <c r="C33" s="24"/>
      <c r="D33" s="24"/>
      <c r="E33" s="24"/>
      <c r="F33" s="25"/>
      <c r="G33" s="1"/>
      <c r="H33" s="26" t="s">
        <v>233</v>
      </c>
      <c r="I33" s="1">
        <f t="shared" ref="I33:I41" si="4">MAX(0,R4-B17-I18)</f>
        <v>11</v>
      </c>
      <c r="J33" s="1">
        <f t="shared" ref="J33:J41" si="5">MAX(0,T4-D17-K18)</f>
        <v>41</v>
      </c>
      <c r="K33" s="1">
        <f t="shared" ref="K33:K41" si="6">MAX(0,V4-F17-M18)</f>
        <v>11</v>
      </c>
      <c r="L33" s="27">
        <f t="shared" ref="L33:L42" si="7">SUM(I33:K33)</f>
        <v>63</v>
      </c>
      <c r="N33" s="26" t="s">
        <v>233</v>
      </c>
      <c r="O33" s="1">
        <f t="shared" ref="O33:O41" si="8">MAX(0,-R4+B17+I18)</f>
        <v>0</v>
      </c>
      <c r="P33" s="1">
        <f t="shared" ref="P33:P41" si="9">MAX(0,-T4+D17+K18)</f>
        <v>0</v>
      </c>
      <c r="Q33" s="1">
        <f t="shared" ref="Q33:Q41" si="10">MAX(0,-V4+F17+M18)</f>
        <v>0</v>
      </c>
      <c r="R33" s="27">
        <f t="shared" ref="R33:R42" si="11">SUM(O33:Q33)</f>
        <v>0</v>
      </c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26" t="s">
        <v>12</v>
      </c>
      <c r="B34" s="1" t="s">
        <v>75</v>
      </c>
      <c r="C34" s="1" t="s">
        <v>13</v>
      </c>
      <c r="D34" s="1" t="s">
        <v>75</v>
      </c>
      <c r="E34" s="1" t="s">
        <v>14</v>
      </c>
      <c r="F34" s="27" t="s">
        <v>75</v>
      </c>
      <c r="H34" s="26" t="s">
        <v>234</v>
      </c>
      <c r="I34" s="1">
        <f t="shared" si="4"/>
        <v>0</v>
      </c>
      <c r="J34" s="1">
        <f t="shared" si="5"/>
        <v>0</v>
      </c>
      <c r="K34" s="1">
        <f t="shared" si="6"/>
        <v>8</v>
      </c>
      <c r="L34" s="27">
        <f t="shared" si="7"/>
        <v>8</v>
      </c>
      <c r="N34" s="26" t="s">
        <v>234</v>
      </c>
      <c r="O34" s="1">
        <f t="shared" si="8"/>
        <v>25</v>
      </c>
      <c r="P34" s="1">
        <f t="shared" si="9"/>
        <v>52</v>
      </c>
      <c r="Q34" s="1">
        <f t="shared" si="10"/>
        <v>0</v>
      </c>
      <c r="R34" s="27">
        <f t="shared" si="11"/>
        <v>77</v>
      </c>
    </row>
    <row r="35" spans="1:26" x14ac:dyDescent="0.3">
      <c r="A35" s="26" t="s">
        <v>243</v>
      </c>
      <c r="B35" s="1">
        <f>B16+I17</f>
        <v>869</v>
      </c>
      <c r="C35" s="1" t="s">
        <v>244</v>
      </c>
      <c r="D35" s="1">
        <f>D16+K17</f>
        <v>717</v>
      </c>
      <c r="E35" s="1" t="s">
        <v>244</v>
      </c>
      <c r="F35" s="27">
        <f>F16+M17</f>
        <v>503</v>
      </c>
      <c r="H35" s="26" t="s">
        <v>235</v>
      </c>
      <c r="I35" s="1">
        <f t="shared" si="4"/>
        <v>0</v>
      </c>
      <c r="J35" s="1">
        <f t="shared" si="5"/>
        <v>73</v>
      </c>
      <c r="K35" s="1">
        <f t="shared" si="6"/>
        <v>0</v>
      </c>
      <c r="L35" s="27">
        <f t="shared" si="7"/>
        <v>73</v>
      </c>
      <c r="N35" s="26" t="s">
        <v>235</v>
      </c>
      <c r="O35" s="1">
        <f t="shared" si="8"/>
        <v>15</v>
      </c>
      <c r="P35" s="1">
        <f t="shared" si="9"/>
        <v>0</v>
      </c>
      <c r="Q35" s="1">
        <f t="shared" si="10"/>
        <v>11</v>
      </c>
      <c r="R35" s="27">
        <f t="shared" si="11"/>
        <v>26</v>
      </c>
    </row>
    <row r="36" spans="1:26" x14ac:dyDescent="0.3">
      <c r="A36" s="26" t="s">
        <v>245</v>
      </c>
      <c r="B36" s="1">
        <f t="shared" ref="B36:B44" si="12">B17+I18</f>
        <v>984</v>
      </c>
      <c r="C36" s="1" t="s">
        <v>246</v>
      </c>
      <c r="D36" s="1">
        <f t="shared" ref="D36:D44" si="13">D17+K18</f>
        <v>760</v>
      </c>
      <c r="E36" s="1" t="s">
        <v>246</v>
      </c>
      <c r="F36" s="27">
        <f t="shared" ref="F36:F44" si="14">F17+M18</f>
        <v>548</v>
      </c>
      <c r="H36" s="26" t="s">
        <v>236</v>
      </c>
      <c r="I36" s="1">
        <f t="shared" si="4"/>
        <v>48</v>
      </c>
      <c r="J36" s="1">
        <f t="shared" si="5"/>
        <v>19</v>
      </c>
      <c r="K36" s="1">
        <f t="shared" si="6"/>
        <v>9</v>
      </c>
      <c r="L36" s="27">
        <f t="shared" si="7"/>
        <v>76</v>
      </c>
      <c r="N36" s="26" t="s">
        <v>236</v>
      </c>
      <c r="O36" s="1">
        <f t="shared" si="8"/>
        <v>0</v>
      </c>
      <c r="P36" s="1">
        <f t="shared" si="9"/>
        <v>0</v>
      </c>
      <c r="Q36" s="1">
        <f t="shared" si="10"/>
        <v>0</v>
      </c>
      <c r="R36" s="27">
        <f t="shared" si="11"/>
        <v>0</v>
      </c>
    </row>
    <row r="37" spans="1:26" x14ac:dyDescent="0.3">
      <c r="A37" s="26" t="s">
        <v>247</v>
      </c>
      <c r="B37" s="1">
        <f t="shared" si="12"/>
        <v>745</v>
      </c>
      <c r="C37" s="1" t="s">
        <v>248</v>
      </c>
      <c r="D37" s="1">
        <f t="shared" si="13"/>
        <v>947</v>
      </c>
      <c r="E37" s="1" t="s">
        <v>248</v>
      </c>
      <c r="F37" s="27">
        <f t="shared" si="14"/>
        <v>685</v>
      </c>
      <c r="H37" s="26" t="s">
        <v>237</v>
      </c>
      <c r="I37" s="1">
        <f t="shared" si="4"/>
        <v>18</v>
      </c>
      <c r="J37" s="1">
        <f t="shared" si="5"/>
        <v>0</v>
      </c>
      <c r="K37" s="1">
        <f t="shared" si="6"/>
        <v>5</v>
      </c>
      <c r="L37" s="27">
        <f t="shared" si="7"/>
        <v>23</v>
      </c>
      <c r="N37" s="26" t="s">
        <v>237</v>
      </c>
      <c r="O37" s="1">
        <f t="shared" si="8"/>
        <v>0</v>
      </c>
      <c r="P37" s="1">
        <f t="shared" si="9"/>
        <v>22</v>
      </c>
      <c r="Q37" s="1">
        <f t="shared" si="10"/>
        <v>0</v>
      </c>
      <c r="R37" s="27">
        <f t="shared" si="11"/>
        <v>22</v>
      </c>
    </row>
    <row r="38" spans="1:26" x14ac:dyDescent="0.3">
      <c r="A38" s="26" t="s">
        <v>249</v>
      </c>
      <c r="B38" s="1">
        <f t="shared" si="12"/>
        <v>1025</v>
      </c>
      <c r="C38" s="1" t="s">
        <v>250</v>
      </c>
      <c r="D38" s="1">
        <f t="shared" si="13"/>
        <v>827</v>
      </c>
      <c r="E38" s="1" t="s">
        <v>250</v>
      </c>
      <c r="F38" s="27">
        <f t="shared" si="14"/>
        <v>712</v>
      </c>
      <c r="H38" s="26" t="s">
        <v>238</v>
      </c>
      <c r="I38" s="1">
        <f t="shared" si="4"/>
        <v>30</v>
      </c>
      <c r="J38" s="1">
        <f t="shared" si="5"/>
        <v>0</v>
      </c>
      <c r="K38" s="1">
        <f t="shared" si="6"/>
        <v>89</v>
      </c>
      <c r="L38" s="27">
        <f t="shared" si="7"/>
        <v>119</v>
      </c>
      <c r="N38" s="26" t="s">
        <v>238</v>
      </c>
      <c r="O38" s="1">
        <f t="shared" si="8"/>
        <v>0</v>
      </c>
      <c r="P38" s="1">
        <f t="shared" si="9"/>
        <v>1</v>
      </c>
      <c r="Q38" s="1">
        <f t="shared" si="10"/>
        <v>0</v>
      </c>
      <c r="R38" s="27">
        <f t="shared" si="11"/>
        <v>1</v>
      </c>
    </row>
    <row r="39" spans="1:26" x14ac:dyDescent="0.3">
      <c r="A39" s="26" t="s">
        <v>251</v>
      </c>
      <c r="B39" s="1">
        <f t="shared" si="12"/>
        <v>673</v>
      </c>
      <c r="C39" s="1" t="s">
        <v>252</v>
      </c>
      <c r="D39" s="1">
        <f t="shared" si="13"/>
        <v>814</v>
      </c>
      <c r="E39" s="1" t="s">
        <v>252</v>
      </c>
      <c r="F39" s="27">
        <f t="shared" si="14"/>
        <v>599</v>
      </c>
      <c r="H39" s="26" t="s">
        <v>239</v>
      </c>
      <c r="I39" s="1">
        <f t="shared" si="4"/>
        <v>0</v>
      </c>
      <c r="J39" s="1">
        <f t="shared" si="5"/>
        <v>0</v>
      </c>
      <c r="K39" s="1">
        <f t="shared" si="6"/>
        <v>350</v>
      </c>
      <c r="L39" s="27">
        <f t="shared" si="7"/>
        <v>350</v>
      </c>
      <c r="N39" s="26" t="s">
        <v>239</v>
      </c>
      <c r="O39" s="1">
        <f t="shared" si="8"/>
        <v>25</v>
      </c>
      <c r="P39" s="1">
        <f t="shared" si="9"/>
        <v>1</v>
      </c>
      <c r="Q39" s="1">
        <f t="shared" si="10"/>
        <v>0</v>
      </c>
      <c r="R39" s="27">
        <f t="shared" si="11"/>
        <v>26</v>
      </c>
    </row>
    <row r="40" spans="1:26" x14ac:dyDescent="0.3">
      <c r="A40" s="26" t="s">
        <v>253</v>
      </c>
      <c r="B40" s="1">
        <f t="shared" si="12"/>
        <v>694</v>
      </c>
      <c r="C40" s="1" t="s">
        <v>254</v>
      </c>
      <c r="D40" s="1">
        <f t="shared" si="13"/>
        <v>722</v>
      </c>
      <c r="E40" s="1" t="s">
        <v>254</v>
      </c>
      <c r="F40" s="27">
        <f t="shared" si="14"/>
        <v>406</v>
      </c>
      <c r="H40" s="26" t="s">
        <v>240</v>
      </c>
      <c r="I40" s="1">
        <f t="shared" si="4"/>
        <v>0</v>
      </c>
      <c r="J40" s="1">
        <f t="shared" si="5"/>
        <v>0</v>
      </c>
      <c r="K40" s="1">
        <f t="shared" si="6"/>
        <v>565</v>
      </c>
      <c r="L40" s="27">
        <f t="shared" si="7"/>
        <v>565</v>
      </c>
      <c r="N40" s="26" t="s">
        <v>240</v>
      </c>
      <c r="O40" s="1">
        <f t="shared" si="8"/>
        <v>37</v>
      </c>
      <c r="P40" s="1">
        <f t="shared" si="9"/>
        <v>3</v>
      </c>
      <c r="Q40" s="1">
        <f t="shared" si="10"/>
        <v>0</v>
      </c>
      <c r="R40" s="27">
        <f t="shared" si="11"/>
        <v>40</v>
      </c>
    </row>
    <row r="41" spans="1:26" x14ac:dyDescent="0.3">
      <c r="A41" s="26" t="s">
        <v>255</v>
      </c>
      <c r="B41" s="1">
        <f t="shared" si="12"/>
        <v>730</v>
      </c>
      <c r="C41" s="1" t="s">
        <v>256</v>
      </c>
      <c r="D41" s="1">
        <f t="shared" si="13"/>
        <v>597</v>
      </c>
      <c r="E41" s="1" t="s">
        <v>256</v>
      </c>
      <c r="F41" s="27">
        <f t="shared" si="14"/>
        <v>232</v>
      </c>
      <c r="H41" s="26" t="s">
        <v>241</v>
      </c>
      <c r="I41" s="1">
        <f t="shared" si="4"/>
        <v>339</v>
      </c>
      <c r="J41" s="1">
        <f t="shared" si="5"/>
        <v>7</v>
      </c>
      <c r="K41" s="1">
        <f t="shared" si="6"/>
        <v>768</v>
      </c>
      <c r="L41" s="27">
        <f t="shared" si="7"/>
        <v>1114</v>
      </c>
      <c r="N41" s="26" t="s">
        <v>241</v>
      </c>
      <c r="O41" s="1">
        <f t="shared" si="8"/>
        <v>0</v>
      </c>
      <c r="P41" s="1">
        <f t="shared" si="9"/>
        <v>0</v>
      </c>
      <c r="Q41" s="1">
        <f t="shared" si="10"/>
        <v>0</v>
      </c>
      <c r="R41" s="27">
        <f t="shared" si="11"/>
        <v>0</v>
      </c>
    </row>
    <row r="42" spans="1:26" x14ac:dyDescent="0.3">
      <c r="A42" s="26" t="s">
        <v>257</v>
      </c>
      <c r="B42" s="1">
        <f t="shared" si="12"/>
        <v>647</v>
      </c>
      <c r="C42" s="1" t="s">
        <v>258</v>
      </c>
      <c r="D42" s="1">
        <f t="shared" si="13"/>
        <v>701</v>
      </c>
      <c r="E42" s="1" t="s">
        <v>258</v>
      </c>
      <c r="F42" s="27">
        <f t="shared" si="14"/>
        <v>196</v>
      </c>
      <c r="H42" s="28" t="s">
        <v>49</v>
      </c>
      <c r="I42" s="29">
        <f>SUM(I32:I41)</f>
        <v>446</v>
      </c>
      <c r="J42" s="29">
        <f>SUM(J32:J41)</f>
        <v>198</v>
      </c>
      <c r="K42" s="29">
        <f>SUM(K32:K41)</f>
        <v>1805</v>
      </c>
      <c r="L42" s="30">
        <f t="shared" si="7"/>
        <v>2449</v>
      </c>
      <c r="N42" s="28" t="s">
        <v>49</v>
      </c>
      <c r="O42" s="29">
        <f>SUM(O32:O41)</f>
        <v>151</v>
      </c>
      <c r="P42" s="29">
        <f>SUM(P32:P41)</f>
        <v>79</v>
      </c>
      <c r="Q42" s="29">
        <f>SUM(Q32:Q41)</f>
        <v>12</v>
      </c>
      <c r="R42" s="30">
        <f t="shared" si="11"/>
        <v>242</v>
      </c>
    </row>
    <row r="43" spans="1:26" x14ac:dyDescent="0.3">
      <c r="A43" s="26" t="s">
        <v>259</v>
      </c>
      <c r="B43" s="1">
        <f t="shared" si="12"/>
        <v>847</v>
      </c>
      <c r="C43" s="1" t="s">
        <v>260</v>
      </c>
      <c r="D43" s="1">
        <f t="shared" si="13"/>
        <v>878</v>
      </c>
      <c r="E43" s="1" t="s">
        <v>260</v>
      </c>
      <c r="F43" s="27">
        <f t="shared" si="14"/>
        <v>196</v>
      </c>
    </row>
    <row r="44" spans="1:26" x14ac:dyDescent="0.3">
      <c r="A44" s="28" t="s">
        <v>261</v>
      </c>
      <c r="B44" s="29">
        <f t="shared" si="12"/>
        <v>1037</v>
      </c>
      <c r="C44" s="29" t="s">
        <v>262</v>
      </c>
      <c r="D44" s="29">
        <f t="shared" si="13"/>
        <v>1003</v>
      </c>
      <c r="E44" s="29" t="s">
        <v>262</v>
      </c>
      <c r="F44" s="30">
        <f t="shared" si="14"/>
        <v>196</v>
      </c>
      <c r="H44" s="1" t="s">
        <v>263</v>
      </c>
      <c r="I44" s="2">
        <f>L42*5+R42*3+(B28-B27)*2</f>
        <v>12971</v>
      </c>
    </row>
    <row r="45" spans="1:26" x14ac:dyDescent="0.3">
      <c r="H45" s="49" t="s">
        <v>266</v>
      </c>
    </row>
    <row r="46" spans="1:26" x14ac:dyDescent="0.3">
      <c r="H46" s="49"/>
    </row>
  </sheetData>
  <scenarios current="0">
    <scenario name="1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  <scenario name="2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</scenario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B06A4-A8FF-4C08-8E34-D759E537D302}">
  <dimension ref="A1:Z45"/>
  <sheetViews>
    <sheetView topLeftCell="A16" workbookViewId="0">
      <selection activeCell="H47" sqref="H47"/>
    </sheetView>
  </sheetViews>
  <sheetFormatPr defaultRowHeight="14.4" x14ac:dyDescent="0.3"/>
  <cols>
    <col min="1" max="1" width="14.109375" customWidth="1"/>
    <col min="2" max="2" width="10" customWidth="1"/>
    <col min="3" max="3" width="9.88671875" customWidth="1"/>
    <col min="4" max="4" width="11.6640625" customWidth="1"/>
    <col min="6" max="6" width="10.33203125" customWidth="1"/>
    <col min="7" max="7" width="9.77734375" customWidth="1"/>
    <col min="8" max="8" width="12.44140625" customWidth="1"/>
  </cols>
  <sheetData>
    <row r="1" spans="1:26" x14ac:dyDescent="0.3">
      <c r="A1" s="34"/>
      <c r="B1" s="35" t="s">
        <v>71</v>
      </c>
      <c r="C1" s="32"/>
      <c r="D1" s="33"/>
      <c r="F1" s="31" t="s">
        <v>72</v>
      </c>
      <c r="G1" s="32"/>
      <c r="H1" s="33"/>
      <c r="J1" s="42" t="s">
        <v>24</v>
      </c>
      <c r="K1" s="24"/>
      <c r="L1" s="24"/>
      <c r="M1" s="24"/>
      <c r="N1" s="24"/>
      <c r="O1" s="25"/>
      <c r="Q1" s="43" t="s">
        <v>265</v>
      </c>
      <c r="R1" s="24"/>
      <c r="S1" s="24"/>
      <c r="T1" s="24"/>
      <c r="U1" s="24"/>
      <c r="V1" s="25"/>
    </row>
    <row r="2" spans="1:26" x14ac:dyDescent="0.3">
      <c r="A2" s="36" t="s">
        <v>22</v>
      </c>
      <c r="B2" s="21" t="s">
        <v>15</v>
      </c>
      <c r="C2" s="21" t="s">
        <v>16</v>
      </c>
      <c r="D2" s="37" t="s">
        <v>17</v>
      </c>
      <c r="F2" s="36" t="s">
        <v>15</v>
      </c>
      <c r="G2" s="22" t="s">
        <v>16</v>
      </c>
      <c r="H2" s="41" t="s">
        <v>17</v>
      </c>
      <c r="J2" s="26" t="s">
        <v>12</v>
      </c>
      <c r="K2" s="1" t="s">
        <v>75</v>
      </c>
      <c r="L2" s="1" t="s">
        <v>13</v>
      </c>
      <c r="M2" s="1" t="s">
        <v>75</v>
      </c>
      <c r="N2" s="1" t="s">
        <v>14</v>
      </c>
      <c r="O2" s="27" t="s">
        <v>75</v>
      </c>
      <c r="Q2" s="26" t="s">
        <v>12</v>
      </c>
      <c r="R2" s="1" t="s">
        <v>75</v>
      </c>
      <c r="S2" s="1" t="s">
        <v>13</v>
      </c>
      <c r="T2" s="1" t="s">
        <v>75</v>
      </c>
      <c r="U2" s="1" t="s">
        <v>14</v>
      </c>
      <c r="V2" s="27" t="s">
        <v>75</v>
      </c>
    </row>
    <row r="3" spans="1:26" x14ac:dyDescent="0.3">
      <c r="A3" s="26">
        <v>1</v>
      </c>
      <c r="B3">
        <v>868.99999999999977</v>
      </c>
      <c r="C3">
        <v>716.53333333333319</v>
      </c>
      <c r="D3" s="38">
        <v>502.06666666666689</v>
      </c>
      <c r="F3" s="26">
        <f>ROUNDUP(B3,0)</f>
        <v>869</v>
      </c>
      <c r="G3" s="1">
        <f>ROUNDUP(C3,0)</f>
        <v>717</v>
      </c>
      <c r="H3" s="27">
        <f>ROUNDUP(D3,0)</f>
        <v>503</v>
      </c>
      <c r="J3" s="26" t="s">
        <v>108</v>
      </c>
      <c r="K3" s="1">
        <v>869</v>
      </c>
      <c r="L3" s="1" t="s">
        <v>109</v>
      </c>
      <c r="M3" s="1">
        <v>717</v>
      </c>
      <c r="N3" s="1" t="s">
        <v>110</v>
      </c>
      <c r="O3" s="27">
        <v>503</v>
      </c>
      <c r="Q3" s="26"/>
      <c r="R3" s="1">
        <v>820</v>
      </c>
      <c r="S3" s="1"/>
      <c r="T3" s="1">
        <v>775</v>
      </c>
      <c r="U3" s="1"/>
      <c r="V3" s="27">
        <v>502</v>
      </c>
    </row>
    <row r="4" spans="1:26" x14ac:dyDescent="0.3">
      <c r="A4" s="26">
        <v>2</v>
      </c>
      <c r="B4">
        <v>983.66666666666652</v>
      </c>
      <c r="C4">
        <v>759.86666666666656</v>
      </c>
      <c r="D4" s="38">
        <v>547.4000000000002</v>
      </c>
      <c r="F4" s="26">
        <f t="shared" ref="F4:H12" si="0">ROUNDUP(B4,0)</f>
        <v>984</v>
      </c>
      <c r="G4" s="1">
        <f t="shared" si="0"/>
        <v>760</v>
      </c>
      <c r="H4" s="27">
        <f t="shared" si="0"/>
        <v>548</v>
      </c>
      <c r="J4" s="26" t="s">
        <v>111</v>
      </c>
      <c r="K4" s="1">
        <v>984</v>
      </c>
      <c r="L4" s="1" t="s">
        <v>112</v>
      </c>
      <c r="M4" s="1">
        <v>760</v>
      </c>
      <c r="N4" s="1" t="s">
        <v>113</v>
      </c>
      <c r="O4" s="27">
        <v>548</v>
      </c>
      <c r="Q4" s="26"/>
      <c r="R4" s="1">
        <v>995</v>
      </c>
      <c r="S4" s="1"/>
      <c r="T4" s="1">
        <v>801</v>
      </c>
      <c r="U4" s="1"/>
      <c r="V4" s="27">
        <v>559</v>
      </c>
    </row>
    <row r="5" spans="1:26" x14ac:dyDescent="0.3">
      <c r="A5" s="26">
        <v>3</v>
      </c>
      <c r="B5">
        <v>757.66666666666629</v>
      </c>
      <c r="C5">
        <v>946.20000000000016</v>
      </c>
      <c r="D5" s="38">
        <v>684.73333333333369</v>
      </c>
      <c r="F5" s="26">
        <f t="shared" si="0"/>
        <v>758</v>
      </c>
      <c r="G5" s="1">
        <f t="shared" si="0"/>
        <v>947</v>
      </c>
      <c r="H5" s="27">
        <f t="shared" si="0"/>
        <v>685</v>
      </c>
      <c r="J5" s="26" t="s">
        <v>114</v>
      </c>
      <c r="K5" s="1">
        <v>758</v>
      </c>
      <c r="L5" s="1" t="s">
        <v>115</v>
      </c>
      <c r="M5" s="1">
        <v>947</v>
      </c>
      <c r="N5" s="1" t="s">
        <v>116</v>
      </c>
      <c r="O5" s="27">
        <v>685</v>
      </c>
      <c r="Q5" s="26"/>
      <c r="R5" s="1">
        <v>720</v>
      </c>
      <c r="S5" s="1"/>
      <c r="T5" s="1">
        <v>895</v>
      </c>
      <c r="U5" s="1"/>
      <c r="V5" s="27">
        <v>693</v>
      </c>
    </row>
    <row r="6" spans="1:26" x14ac:dyDescent="0.3">
      <c r="A6" s="26">
        <v>4</v>
      </c>
      <c r="B6">
        <v>1032.333333333333</v>
      </c>
      <c r="C6">
        <v>826.19999999999982</v>
      </c>
      <c r="D6" s="38">
        <v>711.4000000000002</v>
      </c>
      <c r="F6" s="26">
        <f t="shared" si="0"/>
        <v>1033</v>
      </c>
      <c r="G6" s="1">
        <f t="shared" si="0"/>
        <v>827</v>
      </c>
      <c r="H6" s="27">
        <f t="shared" si="0"/>
        <v>712</v>
      </c>
      <c r="J6" s="26" t="s">
        <v>117</v>
      </c>
      <c r="K6" s="1">
        <v>1033</v>
      </c>
      <c r="L6" s="1" t="s">
        <v>118</v>
      </c>
      <c r="M6" s="1">
        <v>827</v>
      </c>
      <c r="N6" s="1" t="s">
        <v>119</v>
      </c>
      <c r="O6" s="27">
        <v>712</v>
      </c>
      <c r="Q6" s="26"/>
      <c r="R6" s="1">
        <v>1010</v>
      </c>
      <c r="S6" s="1"/>
      <c r="T6" s="1">
        <v>900</v>
      </c>
      <c r="U6" s="1"/>
      <c r="V6" s="27">
        <v>701</v>
      </c>
    </row>
    <row r="7" spans="1:26" x14ac:dyDescent="0.3">
      <c r="A7" s="26">
        <v>5</v>
      </c>
      <c r="B7">
        <v>674</v>
      </c>
      <c r="C7">
        <v>813.19999999999982</v>
      </c>
      <c r="D7" s="38">
        <v>598.06666666666695</v>
      </c>
      <c r="F7" s="26">
        <f t="shared" si="0"/>
        <v>674</v>
      </c>
      <c r="G7" s="1">
        <f t="shared" si="0"/>
        <v>814</v>
      </c>
      <c r="H7" s="27">
        <f t="shared" si="0"/>
        <v>599</v>
      </c>
      <c r="J7" s="26" t="s">
        <v>120</v>
      </c>
      <c r="K7" s="1">
        <v>674</v>
      </c>
      <c r="L7" s="1" t="s">
        <v>121</v>
      </c>
      <c r="M7" s="1">
        <v>814</v>
      </c>
      <c r="N7" s="1" t="s">
        <v>122</v>
      </c>
      <c r="O7" s="27">
        <v>599</v>
      </c>
      <c r="Q7" s="26"/>
      <c r="R7" s="1">
        <v>721</v>
      </c>
      <c r="S7" s="1"/>
      <c r="T7" s="1">
        <v>833</v>
      </c>
      <c r="U7" s="1"/>
      <c r="V7" s="27">
        <v>608</v>
      </c>
    </row>
    <row r="8" spans="1:26" x14ac:dyDescent="0.3">
      <c r="A8" s="26">
        <v>6</v>
      </c>
      <c r="B8">
        <v>693.99999999999977</v>
      </c>
      <c r="C8">
        <v>721.53333333333319</v>
      </c>
      <c r="D8" s="38">
        <v>405.06666666666689</v>
      </c>
      <c r="F8" s="26">
        <f t="shared" si="0"/>
        <v>694</v>
      </c>
      <c r="G8" s="1">
        <f t="shared" si="0"/>
        <v>722</v>
      </c>
      <c r="H8" s="27">
        <f t="shared" si="0"/>
        <v>406</v>
      </c>
      <c r="J8" s="26" t="s">
        <v>123</v>
      </c>
      <c r="K8" s="1">
        <v>694</v>
      </c>
      <c r="L8" s="1" t="s">
        <v>124</v>
      </c>
      <c r="M8" s="1">
        <v>722</v>
      </c>
      <c r="N8" s="1" t="s">
        <v>125</v>
      </c>
      <c r="O8" s="27">
        <v>406</v>
      </c>
      <c r="Q8" s="26"/>
      <c r="R8" s="1">
        <v>712</v>
      </c>
      <c r="S8" s="1"/>
      <c r="T8" s="1">
        <v>700</v>
      </c>
      <c r="U8" s="1"/>
      <c r="V8" s="27">
        <v>411</v>
      </c>
    </row>
    <row r="9" spans="1:26" x14ac:dyDescent="0.3">
      <c r="A9" s="26">
        <v>7</v>
      </c>
      <c r="B9">
        <v>729.99999999999977</v>
      </c>
      <c r="C9">
        <v>596.86666666666656</v>
      </c>
      <c r="D9" s="38">
        <v>336.40000000000026</v>
      </c>
      <c r="F9" s="26">
        <f t="shared" si="0"/>
        <v>730</v>
      </c>
      <c r="G9" s="1">
        <f t="shared" si="0"/>
        <v>597</v>
      </c>
      <c r="H9" s="27">
        <f t="shared" si="0"/>
        <v>337</v>
      </c>
      <c r="J9" s="26" t="s">
        <v>126</v>
      </c>
      <c r="K9" s="1">
        <v>730</v>
      </c>
      <c r="L9" s="1" t="s">
        <v>127</v>
      </c>
      <c r="M9" s="1">
        <v>597</v>
      </c>
      <c r="N9" s="1" t="s">
        <v>128</v>
      </c>
      <c r="O9" s="27">
        <v>337</v>
      </c>
      <c r="Q9" s="26"/>
      <c r="R9" s="1">
        <v>760</v>
      </c>
      <c r="S9" s="1"/>
      <c r="T9" s="1">
        <v>596</v>
      </c>
      <c r="U9" s="1"/>
      <c r="V9" s="27">
        <v>321</v>
      </c>
    </row>
    <row r="10" spans="1:26" x14ac:dyDescent="0.3">
      <c r="A10" s="26">
        <v>8</v>
      </c>
      <c r="B10">
        <v>646.33333333333326</v>
      </c>
      <c r="C10">
        <v>706.5333333333333</v>
      </c>
      <c r="D10" s="38">
        <v>532.06666666666695</v>
      </c>
      <c r="F10" s="26">
        <f t="shared" si="0"/>
        <v>647</v>
      </c>
      <c r="G10" s="1">
        <f t="shared" si="0"/>
        <v>707</v>
      </c>
      <c r="H10" s="27">
        <f t="shared" si="0"/>
        <v>533</v>
      </c>
      <c r="J10" s="26" t="s">
        <v>129</v>
      </c>
      <c r="K10" s="1">
        <v>647</v>
      </c>
      <c r="L10" s="1" t="s">
        <v>130</v>
      </c>
      <c r="M10" s="1">
        <v>707</v>
      </c>
      <c r="N10" s="1" t="s">
        <v>131</v>
      </c>
      <c r="O10" s="27">
        <v>533</v>
      </c>
      <c r="Q10" s="26"/>
      <c r="R10" s="1">
        <v>622</v>
      </c>
      <c r="S10" s="1"/>
      <c r="T10" s="1">
        <v>700</v>
      </c>
      <c r="U10" s="1"/>
      <c r="V10" s="27">
        <v>546</v>
      </c>
    </row>
    <row r="11" spans="1:26" x14ac:dyDescent="0.3">
      <c r="A11" s="26">
        <v>9</v>
      </c>
      <c r="B11">
        <v>846.66666666666629</v>
      </c>
      <c r="C11">
        <v>878.5333333333333</v>
      </c>
      <c r="D11" s="38">
        <v>746.06666666666695</v>
      </c>
      <c r="F11" s="26">
        <f t="shared" si="0"/>
        <v>847</v>
      </c>
      <c r="G11" s="1">
        <f t="shared" si="0"/>
        <v>879</v>
      </c>
      <c r="H11" s="27">
        <f t="shared" si="0"/>
        <v>747</v>
      </c>
      <c r="J11" s="26" t="s">
        <v>132</v>
      </c>
      <c r="K11" s="1">
        <v>847</v>
      </c>
      <c r="L11" s="1" t="s">
        <v>133</v>
      </c>
      <c r="M11" s="1">
        <v>879</v>
      </c>
      <c r="N11" s="1" t="s">
        <v>134</v>
      </c>
      <c r="O11" s="27">
        <v>747</v>
      </c>
      <c r="Q11" s="26"/>
      <c r="R11" s="1">
        <v>810</v>
      </c>
      <c r="S11" s="1"/>
      <c r="T11" s="1">
        <v>875</v>
      </c>
      <c r="U11" s="1"/>
      <c r="V11" s="27">
        <v>761</v>
      </c>
    </row>
    <row r="12" spans="1:26" x14ac:dyDescent="0.3">
      <c r="A12" s="28">
        <v>10</v>
      </c>
      <c r="B12" s="39">
        <v>1312.3333333333335</v>
      </c>
      <c r="C12" s="39">
        <v>1119.5333333333333</v>
      </c>
      <c r="D12" s="40">
        <v>1002.7333333333337</v>
      </c>
      <c r="F12" s="28">
        <f t="shared" si="0"/>
        <v>1313</v>
      </c>
      <c r="G12" s="29">
        <f t="shared" si="0"/>
        <v>1120</v>
      </c>
      <c r="H12" s="30">
        <f t="shared" si="0"/>
        <v>1003</v>
      </c>
      <c r="J12" s="28" t="s">
        <v>135</v>
      </c>
      <c r="K12" s="29">
        <v>1313</v>
      </c>
      <c r="L12" s="29" t="s">
        <v>136</v>
      </c>
      <c r="M12" s="29">
        <v>1120</v>
      </c>
      <c r="N12" s="29" t="s">
        <v>137</v>
      </c>
      <c r="O12" s="30">
        <v>1003</v>
      </c>
      <c r="Q12" s="28"/>
      <c r="R12" s="29">
        <v>1376</v>
      </c>
      <c r="S12" s="29"/>
      <c r="T12" s="29">
        <v>1010</v>
      </c>
      <c r="U12" s="29"/>
      <c r="V12" s="30">
        <v>964</v>
      </c>
    </row>
    <row r="14" spans="1:26" x14ac:dyDescent="0.3">
      <c r="A14" s="31" t="s">
        <v>74</v>
      </c>
      <c r="B14" s="32"/>
      <c r="C14" s="32"/>
      <c r="D14" s="32"/>
      <c r="E14" s="32"/>
      <c r="F14" s="33"/>
    </row>
    <row r="15" spans="1:26" x14ac:dyDescent="0.3">
      <c r="A15" s="26" t="s">
        <v>12</v>
      </c>
      <c r="B15" s="1" t="s">
        <v>75</v>
      </c>
      <c r="C15" s="1" t="s">
        <v>13</v>
      </c>
      <c r="D15" s="1" t="s">
        <v>75</v>
      </c>
      <c r="E15" s="1" t="s">
        <v>14</v>
      </c>
      <c r="F15" s="27" t="s">
        <v>75</v>
      </c>
      <c r="G15" s="1"/>
      <c r="H15" s="42" t="s">
        <v>138</v>
      </c>
      <c r="I15" s="24"/>
      <c r="J15" s="24"/>
      <c r="K15" s="24"/>
      <c r="L15" s="24"/>
      <c r="M15" s="25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26" t="s">
        <v>76</v>
      </c>
      <c r="B16" s="1">
        <v>634</v>
      </c>
      <c r="C16" s="1" t="s">
        <v>77</v>
      </c>
      <c r="D16" s="1">
        <v>631</v>
      </c>
      <c r="E16" s="1" t="s">
        <v>78</v>
      </c>
      <c r="F16" s="27">
        <v>387</v>
      </c>
      <c r="G16" s="1"/>
      <c r="H16" s="26" t="s">
        <v>12</v>
      </c>
      <c r="I16" s="1" t="s">
        <v>75</v>
      </c>
      <c r="J16" s="1" t="s">
        <v>13</v>
      </c>
      <c r="K16" s="1" t="s">
        <v>75</v>
      </c>
      <c r="L16" s="1" t="s">
        <v>14</v>
      </c>
      <c r="M16" s="27" t="s">
        <v>75</v>
      </c>
      <c r="N16" s="1"/>
      <c r="O16" s="42" t="s">
        <v>169</v>
      </c>
      <c r="P16" s="24"/>
      <c r="Q16" s="24"/>
      <c r="R16" s="24"/>
      <c r="S16" s="23"/>
      <c r="T16" s="24"/>
      <c r="U16" s="24"/>
      <c r="V16" s="25"/>
      <c r="W16" s="24"/>
      <c r="X16" s="24"/>
      <c r="Y16" s="24"/>
      <c r="Z16" s="25"/>
    </row>
    <row r="17" spans="1:26" x14ac:dyDescent="0.3">
      <c r="A17" s="26" t="s">
        <v>79</v>
      </c>
      <c r="B17" s="1">
        <v>984</v>
      </c>
      <c r="C17" s="1" t="s">
        <v>80</v>
      </c>
      <c r="D17" s="1">
        <v>760</v>
      </c>
      <c r="E17" s="1" t="s">
        <v>81</v>
      </c>
      <c r="F17" s="27">
        <v>548</v>
      </c>
      <c r="G17" s="1"/>
      <c r="H17" s="26" t="s">
        <v>139</v>
      </c>
      <c r="I17" s="1">
        <v>55</v>
      </c>
      <c r="J17" s="1" t="s">
        <v>140</v>
      </c>
      <c r="K17" s="1">
        <v>83</v>
      </c>
      <c r="L17" s="1" t="s">
        <v>141</v>
      </c>
      <c r="M17" s="27">
        <v>110</v>
      </c>
      <c r="N17" s="1"/>
      <c r="O17" s="28" t="s">
        <v>12</v>
      </c>
      <c r="P17" s="29" t="s">
        <v>75</v>
      </c>
      <c r="Q17" s="29"/>
      <c r="R17" s="29"/>
      <c r="S17" s="28" t="s">
        <v>13</v>
      </c>
      <c r="T17" s="29" t="s">
        <v>75</v>
      </c>
      <c r="U17" s="29"/>
      <c r="V17" s="30"/>
      <c r="W17" s="29" t="s">
        <v>14</v>
      </c>
      <c r="X17" s="29" t="s">
        <v>75</v>
      </c>
      <c r="Y17" s="29"/>
      <c r="Z17" s="30"/>
    </row>
    <row r="18" spans="1:26" x14ac:dyDescent="0.3">
      <c r="A18" s="26" t="s">
        <v>82</v>
      </c>
      <c r="B18" s="1">
        <v>574</v>
      </c>
      <c r="C18" s="1" t="s">
        <v>83</v>
      </c>
      <c r="D18" s="1">
        <v>606</v>
      </c>
      <c r="E18" s="1" t="s">
        <v>84</v>
      </c>
      <c r="F18" s="27">
        <v>685</v>
      </c>
      <c r="G18" s="1"/>
      <c r="H18" s="26" t="s">
        <v>142</v>
      </c>
      <c r="I18" s="1">
        <v>0</v>
      </c>
      <c r="J18" s="1" t="s">
        <v>143</v>
      </c>
      <c r="K18" s="1">
        <v>0</v>
      </c>
      <c r="L18" s="1" t="s">
        <v>144</v>
      </c>
      <c r="M18" s="27">
        <v>0</v>
      </c>
      <c r="N18" s="1"/>
      <c r="O18" s="23" t="s">
        <v>170</v>
      </c>
      <c r="P18" s="24">
        <v>150</v>
      </c>
      <c r="Q18" s="24" t="s">
        <v>171</v>
      </c>
      <c r="R18" s="25">
        <v>1000</v>
      </c>
      <c r="S18" s="23" t="s">
        <v>172</v>
      </c>
      <c r="T18" s="24">
        <v>150</v>
      </c>
      <c r="U18" s="24" t="s">
        <v>173</v>
      </c>
      <c r="V18" s="25">
        <v>1000</v>
      </c>
      <c r="W18" s="23" t="s">
        <v>174</v>
      </c>
      <c r="X18" s="24">
        <v>150</v>
      </c>
      <c r="Y18" s="24" t="s">
        <v>175</v>
      </c>
      <c r="Z18" s="25">
        <v>1000</v>
      </c>
    </row>
    <row r="19" spans="1:26" x14ac:dyDescent="0.3">
      <c r="A19" s="26" t="s">
        <v>85</v>
      </c>
      <c r="B19" s="1">
        <v>939</v>
      </c>
      <c r="C19" s="1" t="s">
        <v>86</v>
      </c>
      <c r="D19" s="1">
        <v>827</v>
      </c>
      <c r="E19" s="1" t="s">
        <v>87</v>
      </c>
      <c r="F19" s="27">
        <v>694</v>
      </c>
      <c r="G19" s="1"/>
      <c r="H19" s="26" t="s">
        <v>145</v>
      </c>
      <c r="I19" s="1">
        <v>0</v>
      </c>
      <c r="J19" s="1" t="s">
        <v>146</v>
      </c>
      <c r="K19" s="1">
        <v>0</v>
      </c>
      <c r="L19" s="1" t="s">
        <v>147</v>
      </c>
      <c r="M19" s="27">
        <v>0</v>
      </c>
      <c r="N19" s="1"/>
      <c r="O19" s="26" t="s">
        <v>176</v>
      </c>
      <c r="P19" s="1">
        <v>150</v>
      </c>
      <c r="Q19" s="1" t="s">
        <v>177</v>
      </c>
      <c r="R19" s="27">
        <v>1000</v>
      </c>
      <c r="S19" s="26" t="s">
        <v>178</v>
      </c>
      <c r="T19" s="1">
        <v>150</v>
      </c>
      <c r="U19" s="1" t="s">
        <v>179</v>
      </c>
      <c r="V19" s="27">
        <v>1000</v>
      </c>
      <c r="W19" s="26" t="s">
        <v>180</v>
      </c>
      <c r="X19" s="1">
        <v>150</v>
      </c>
      <c r="Y19" s="1" t="s">
        <v>181</v>
      </c>
      <c r="Z19" s="27">
        <v>1000</v>
      </c>
    </row>
    <row r="20" spans="1:26" x14ac:dyDescent="0.3">
      <c r="A20" s="26" t="s">
        <v>88</v>
      </c>
      <c r="B20" s="1">
        <v>670</v>
      </c>
      <c r="C20" s="1" t="s">
        <v>89</v>
      </c>
      <c r="D20" s="1">
        <v>809</v>
      </c>
      <c r="E20" s="1" t="s">
        <v>90</v>
      </c>
      <c r="F20" s="27">
        <v>591</v>
      </c>
      <c r="G20" s="1"/>
      <c r="H20" s="26" t="s">
        <v>148</v>
      </c>
      <c r="I20" s="1">
        <v>0</v>
      </c>
      <c r="J20" s="1" t="s">
        <v>149</v>
      </c>
      <c r="K20" s="1">
        <v>0</v>
      </c>
      <c r="L20" s="1" t="s">
        <v>150</v>
      </c>
      <c r="M20" s="27">
        <v>0</v>
      </c>
      <c r="N20" s="1"/>
      <c r="O20" s="26" t="s">
        <v>182</v>
      </c>
      <c r="P20" s="1">
        <v>150</v>
      </c>
      <c r="Q20" s="1" t="s">
        <v>183</v>
      </c>
      <c r="R20" s="27">
        <v>1000</v>
      </c>
      <c r="S20" s="26" t="s">
        <v>184</v>
      </c>
      <c r="T20" s="1">
        <v>150</v>
      </c>
      <c r="U20" s="1" t="s">
        <v>185</v>
      </c>
      <c r="V20" s="27">
        <v>1000</v>
      </c>
      <c r="W20" s="26" t="s">
        <v>186</v>
      </c>
      <c r="X20" s="1">
        <v>150</v>
      </c>
      <c r="Y20" s="1" t="s">
        <v>187</v>
      </c>
      <c r="Z20" s="27">
        <v>1000</v>
      </c>
    </row>
    <row r="21" spans="1:26" x14ac:dyDescent="0.3">
      <c r="A21" s="26" t="s">
        <v>91</v>
      </c>
      <c r="B21" s="1">
        <v>694</v>
      </c>
      <c r="C21" s="1" t="s">
        <v>92</v>
      </c>
      <c r="D21" s="1">
        <v>573</v>
      </c>
      <c r="E21" s="1" t="s">
        <v>93</v>
      </c>
      <c r="F21" s="27">
        <v>405</v>
      </c>
      <c r="G21" s="1"/>
      <c r="H21" s="26" t="s">
        <v>151</v>
      </c>
      <c r="I21" s="1">
        <v>0</v>
      </c>
      <c r="J21" s="1" t="s">
        <v>152</v>
      </c>
      <c r="K21" s="1">
        <v>0</v>
      </c>
      <c r="L21" s="1" t="s">
        <v>153</v>
      </c>
      <c r="M21" s="27">
        <v>0</v>
      </c>
      <c r="N21" s="1"/>
      <c r="O21" s="26" t="s">
        <v>188</v>
      </c>
      <c r="P21" s="1">
        <v>150</v>
      </c>
      <c r="Q21" s="1" t="s">
        <v>189</v>
      </c>
      <c r="R21" s="27">
        <v>1000</v>
      </c>
      <c r="S21" s="26" t="s">
        <v>190</v>
      </c>
      <c r="T21" s="1">
        <v>150</v>
      </c>
      <c r="U21" s="1" t="s">
        <v>191</v>
      </c>
      <c r="V21" s="27">
        <v>1000</v>
      </c>
      <c r="W21" s="26" t="s">
        <v>192</v>
      </c>
      <c r="X21" s="1">
        <v>150</v>
      </c>
      <c r="Y21" s="1" t="s">
        <v>193</v>
      </c>
      <c r="Z21" s="27">
        <v>1000</v>
      </c>
    </row>
    <row r="22" spans="1:26" x14ac:dyDescent="0.3">
      <c r="A22" s="26" t="s">
        <v>94</v>
      </c>
      <c r="B22" s="1">
        <v>730</v>
      </c>
      <c r="C22" s="1" t="s">
        <v>95</v>
      </c>
      <c r="D22" s="1">
        <v>557</v>
      </c>
      <c r="E22" s="1" t="s">
        <v>96</v>
      </c>
      <c r="F22" s="27">
        <v>316</v>
      </c>
      <c r="G22" s="1"/>
      <c r="H22" s="26" t="s">
        <v>154</v>
      </c>
      <c r="I22" s="1">
        <v>0</v>
      </c>
      <c r="J22" s="1" t="s">
        <v>155</v>
      </c>
      <c r="K22" s="1">
        <v>0</v>
      </c>
      <c r="L22" s="1" t="s">
        <v>156</v>
      </c>
      <c r="M22" s="27">
        <v>0</v>
      </c>
      <c r="N22" s="1"/>
      <c r="O22" s="26" t="s">
        <v>194</v>
      </c>
      <c r="P22" s="1">
        <v>150</v>
      </c>
      <c r="Q22" s="1" t="s">
        <v>195</v>
      </c>
      <c r="R22" s="27">
        <v>1000</v>
      </c>
      <c r="S22" s="26" t="s">
        <v>196</v>
      </c>
      <c r="T22" s="1">
        <v>150</v>
      </c>
      <c r="U22" s="1" t="s">
        <v>197</v>
      </c>
      <c r="V22" s="27">
        <v>1000</v>
      </c>
      <c r="W22" s="26" t="s">
        <v>198</v>
      </c>
      <c r="X22" s="1">
        <v>150</v>
      </c>
      <c r="Y22" s="1" t="s">
        <v>199</v>
      </c>
      <c r="Z22" s="27">
        <v>1000</v>
      </c>
    </row>
    <row r="23" spans="1:26" x14ac:dyDescent="0.3">
      <c r="A23" s="26" t="s">
        <v>97</v>
      </c>
      <c r="B23" s="1">
        <v>513</v>
      </c>
      <c r="C23" s="1" t="s">
        <v>98</v>
      </c>
      <c r="D23" s="1">
        <v>675</v>
      </c>
      <c r="E23" s="1" t="s">
        <v>99</v>
      </c>
      <c r="F23" s="27">
        <v>532</v>
      </c>
      <c r="G23" s="1"/>
      <c r="H23" s="26" t="s">
        <v>157</v>
      </c>
      <c r="I23" s="1">
        <v>0</v>
      </c>
      <c r="J23" s="1" t="s">
        <v>158</v>
      </c>
      <c r="K23" s="1">
        <v>0</v>
      </c>
      <c r="L23" s="1" t="s">
        <v>159</v>
      </c>
      <c r="M23" s="27">
        <v>0</v>
      </c>
      <c r="N23" s="1"/>
      <c r="O23" s="26" t="s">
        <v>200</v>
      </c>
      <c r="P23" s="1">
        <v>150</v>
      </c>
      <c r="Q23" s="1" t="s">
        <v>201</v>
      </c>
      <c r="R23" s="27">
        <v>1000</v>
      </c>
      <c r="S23" s="26" t="s">
        <v>202</v>
      </c>
      <c r="T23" s="1">
        <v>150</v>
      </c>
      <c r="U23" s="1" t="s">
        <v>203</v>
      </c>
      <c r="V23" s="27">
        <v>1000</v>
      </c>
      <c r="W23" s="26" t="s">
        <v>204</v>
      </c>
      <c r="X23" s="1">
        <v>150</v>
      </c>
      <c r="Y23" s="1" t="s">
        <v>205</v>
      </c>
      <c r="Z23" s="27">
        <v>1000</v>
      </c>
    </row>
    <row r="24" spans="1:26" x14ac:dyDescent="0.3">
      <c r="A24" s="26" t="s">
        <v>100</v>
      </c>
      <c r="B24" s="1">
        <v>737</v>
      </c>
      <c r="C24" s="1" t="s">
        <v>101</v>
      </c>
      <c r="D24" s="1">
        <v>863</v>
      </c>
      <c r="E24" s="1" t="s">
        <v>102</v>
      </c>
      <c r="F24" s="27">
        <v>543</v>
      </c>
      <c r="G24" s="1"/>
      <c r="H24" s="26" t="s">
        <v>160</v>
      </c>
      <c r="I24" s="1">
        <v>0</v>
      </c>
      <c r="J24" s="1" t="s">
        <v>161</v>
      </c>
      <c r="K24" s="1">
        <v>0</v>
      </c>
      <c r="L24" s="1" t="s">
        <v>162</v>
      </c>
      <c r="M24" s="27">
        <v>0</v>
      </c>
      <c r="N24" s="1"/>
      <c r="O24" s="26" t="s">
        <v>206</v>
      </c>
      <c r="P24" s="1">
        <v>150</v>
      </c>
      <c r="Q24" s="1" t="s">
        <v>207</v>
      </c>
      <c r="R24" s="27">
        <v>1000</v>
      </c>
      <c r="S24" s="26" t="s">
        <v>208</v>
      </c>
      <c r="T24" s="1">
        <v>150</v>
      </c>
      <c r="U24" s="1" t="s">
        <v>209</v>
      </c>
      <c r="V24" s="27">
        <v>1000</v>
      </c>
      <c r="W24" s="26" t="s">
        <v>210</v>
      </c>
      <c r="X24" s="1">
        <v>150</v>
      </c>
      <c r="Y24" s="1" t="s">
        <v>211</v>
      </c>
      <c r="Z24" s="27">
        <v>1000</v>
      </c>
    </row>
    <row r="25" spans="1:26" x14ac:dyDescent="0.3">
      <c r="A25" s="28" t="s">
        <v>103</v>
      </c>
      <c r="B25" s="29">
        <v>1000</v>
      </c>
      <c r="C25" s="29" t="s">
        <v>104</v>
      </c>
      <c r="D25" s="29">
        <v>979</v>
      </c>
      <c r="E25" s="29" t="s">
        <v>105</v>
      </c>
      <c r="F25" s="30">
        <v>544</v>
      </c>
      <c r="G25" s="1"/>
      <c r="H25" s="26" t="s">
        <v>163</v>
      </c>
      <c r="I25" s="1">
        <v>0</v>
      </c>
      <c r="J25" s="1" t="s">
        <v>164</v>
      </c>
      <c r="K25" s="1">
        <v>0</v>
      </c>
      <c r="L25" s="1" t="s">
        <v>165</v>
      </c>
      <c r="M25" s="27">
        <v>0</v>
      </c>
      <c r="N25" s="1"/>
      <c r="O25" s="26" t="s">
        <v>212</v>
      </c>
      <c r="P25" s="1">
        <v>150</v>
      </c>
      <c r="Q25" s="1" t="s">
        <v>213</v>
      </c>
      <c r="R25" s="27">
        <v>1000</v>
      </c>
      <c r="S25" s="26" t="s">
        <v>214</v>
      </c>
      <c r="T25" s="1">
        <v>150</v>
      </c>
      <c r="U25" s="1" t="s">
        <v>215</v>
      </c>
      <c r="V25" s="27">
        <v>1000</v>
      </c>
      <c r="W25" s="26" t="s">
        <v>216</v>
      </c>
      <c r="X25" s="1">
        <v>150</v>
      </c>
      <c r="Y25" s="1" t="s">
        <v>217</v>
      </c>
      <c r="Z25" s="27">
        <v>1000</v>
      </c>
    </row>
    <row r="26" spans="1:26" x14ac:dyDescent="0.3">
      <c r="A26" s="1"/>
      <c r="B26" s="1"/>
      <c r="C26" s="1"/>
      <c r="D26" s="1"/>
      <c r="E26" s="1"/>
      <c r="F26" s="1"/>
      <c r="G26" s="1"/>
      <c r="H26" s="28" t="s">
        <v>166</v>
      </c>
      <c r="I26" s="29">
        <v>0</v>
      </c>
      <c r="J26" s="29" t="s">
        <v>167</v>
      </c>
      <c r="K26" s="29">
        <v>0</v>
      </c>
      <c r="L26" s="29" t="s">
        <v>168</v>
      </c>
      <c r="M26" s="30">
        <v>0</v>
      </c>
      <c r="N26" s="1"/>
      <c r="O26" s="26" t="s">
        <v>218</v>
      </c>
      <c r="P26" s="1">
        <v>150</v>
      </c>
      <c r="Q26" s="1" t="s">
        <v>219</v>
      </c>
      <c r="R26" s="27">
        <v>1000</v>
      </c>
      <c r="S26" s="26" t="s">
        <v>220</v>
      </c>
      <c r="T26" s="1">
        <v>150</v>
      </c>
      <c r="U26" s="1" t="s">
        <v>221</v>
      </c>
      <c r="V26" s="27">
        <v>1000</v>
      </c>
      <c r="W26" s="26" t="s">
        <v>222</v>
      </c>
      <c r="X26" s="1">
        <v>150</v>
      </c>
      <c r="Y26" s="1" t="s">
        <v>223</v>
      </c>
      <c r="Z26" s="27">
        <v>1000</v>
      </c>
    </row>
    <row r="27" spans="1:26" x14ac:dyDescent="0.3">
      <c r="A27" s="22" t="s">
        <v>106</v>
      </c>
      <c r="B27" s="48">
        <f>SUM(B16:B25,D16:D25,F16:F25)</f>
        <v>20000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28" t="s">
        <v>224</v>
      </c>
      <c r="P27" s="29">
        <v>150</v>
      </c>
      <c r="Q27" s="29" t="s">
        <v>225</v>
      </c>
      <c r="R27" s="30">
        <v>1000</v>
      </c>
      <c r="S27" s="28" t="s">
        <v>226</v>
      </c>
      <c r="T27" s="29">
        <v>150</v>
      </c>
      <c r="U27" s="29" t="s">
        <v>227</v>
      </c>
      <c r="V27" s="30">
        <v>1000</v>
      </c>
      <c r="W27" s="28" t="s">
        <v>228</v>
      </c>
      <c r="X27" s="29">
        <v>150</v>
      </c>
      <c r="Y27" s="29" t="s">
        <v>229</v>
      </c>
      <c r="Z27" s="30">
        <v>1000</v>
      </c>
    </row>
    <row r="28" spans="1:26" x14ac:dyDescent="0.3">
      <c r="A28" s="22" t="s">
        <v>107</v>
      </c>
      <c r="B28" s="1">
        <v>20000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23"/>
      <c r="I30" s="44" t="s">
        <v>230</v>
      </c>
      <c r="J30" s="24"/>
      <c r="K30" s="24"/>
      <c r="L30" s="25"/>
      <c r="N30" s="34"/>
      <c r="O30" s="44" t="s">
        <v>231</v>
      </c>
      <c r="P30" s="24"/>
      <c r="Q30" s="24"/>
      <c r="R30" s="25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26"/>
      <c r="I31" s="1" t="s">
        <v>12</v>
      </c>
      <c r="J31" s="1" t="s">
        <v>13</v>
      </c>
      <c r="K31" s="1" t="s">
        <v>14</v>
      </c>
      <c r="L31" s="27" t="s">
        <v>49</v>
      </c>
      <c r="N31" s="45"/>
      <c r="O31" s="1" t="s">
        <v>12</v>
      </c>
      <c r="P31" s="1" t="s">
        <v>13</v>
      </c>
      <c r="Q31" s="1" t="s">
        <v>14</v>
      </c>
      <c r="R31" s="27" t="s">
        <v>49</v>
      </c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26" t="s">
        <v>232</v>
      </c>
      <c r="I32" s="1">
        <f>MAX(0,R3-B16-I17)</f>
        <v>131</v>
      </c>
      <c r="J32" s="1">
        <f>MAX(0,T3-D16-K17)</f>
        <v>61</v>
      </c>
      <c r="K32" s="1">
        <f>MAX(0,V3-F16-M17)</f>
        <v>5</v>
      </c>
      <c r="L32" s="27">
        <f>SUM(I32:K32)</f>
        <v>197</v>
      </c>
      <c r="N32" s="26" t="s">
        <v>232</v>
      </c>
      <c r="O32" s="1">
        <f>MAX(0,-R3+B16+I17)</f>
        <v>0</v>
      </c>
      <c r="P32" s="1">
        <f>MAX(0,-T3+D16+K17)</f>
        <v>0</v>
      </c>
      <c r="Q32" s="1">
        <f>MAX(0,-V3+F16+M17)</f>
        <v>0</v>
      </c>
      <c r="R32" s="27">
        <f>SUM(O32:Q32)</f>
        <v>0</v>
      </c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43" t="s">
        <v>242</v>
      </c>
      <c r="B33" s="24"/>
      <c r="C33" s="24"/>
      <c r="D33" s="24"/>
      <c r="E33" s="24"/>
      <c r="F33" s="25"/>
      <c r="G33" s="1"/>
      <c r="H33" s="26" t="s">
        <v>233</v>
      </c>
      <c r="I33" s="1">
        <f t="shared" ref="I33:I41" si="1">MAX(0,R4-B17-I18)</f>
        <v>11</v>
      </c>
      <c r="J33" s="1">
        <f t="shared" ref="J33:J41" si="2">MAX(0,T4-D17-K18)</f>
        <v>41</v>
      </c>
      <c r="K33" s="1">
        <f t="shared" ref="K33:K41" si="3">MAX(0,V4-F17-M18)</f>
        <v>11</v>
      </c>
      <c r="L33" s="27">
        <f t="shared" ref="L33:L42" si="4">SUM(I33:K33)</f>
        <v>63</v>
      </c>
      <c r="N33" s="26" t="s">
        <v>233</v>
      </c>
      <c r="O33" s="1">
        <f t="shared" ref="O33:O41" si="5">MAX(0,-R4+B17+I18)</f>
        <v>0</v>
      </c>
      <c r="P33" s="1">
        <f t="shared" ref="P33:P41" si="6">MAX(0,-T4+D17+K18)</f>
        <v>0</v>
      </c>
      <c r="Q33" s="1">
        <f t="shared" ref="Q33:Q41" si="7">MAX(0,-V4+F17+M18)</f>
        <v>0</v>
      </c>
      <c r="R33" s="27">
        <f t="shared" ref="R33:R42" si="8">SUM(O33:Q33)</f>
        <v>0</v>
      </c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26" t="s">
        <v>12</v>
      </c>
      <c r="B34" s="1" t="s">
        <v>75</v>
      </c>
      <c r="C34" s="1" t="s">
        <v>13</v>
      </c>
      <c r="D34" s="1" t="s">
        <v>75</v>
      </c>
      <c r="E34" s="1" t="s">
        <v>14</v>
      </c>
      <c r="F34" s="27" t="s">
        <v>75</v>
      </c>
      <c r="H34" s="26" t="s">
        <v>234</v>
      </c>
      <c r="I34" s="1">
        <f t="shared" si="1"/>
        <v>146</v>
      </c>
      <c r="J34" s="1">
        <f t="shared" si="2"/>
        <v>289</v>
      </c>
      <c r="K34" s="1">
        <f t="shared" si="3"/>
        <v>8</v>
      </c>
      <c r="L34" s="27">
        <f t="shared" si="4"/>
        <v>443</v>
      </c>
      <c r="N34" s="26" t="s">
        <v>234</v>
      </c>
      <c r="O34" s="1">
        <f t="shared" si="5"/>
        <v>0</v>
      </c>
      <c r="P34" s="1">
        <f t="shared" si="6"/>
        <v>0</v>
      </c>
      <c r="Q34" s="1">
        <f t="shared" si="7"/>
        <v>0</v>
      </c>
      <c r="R34" s="27">
        <f t="shared" si="8"/>
        <v>0</v>
      </c>
    </row>
    <row r="35" spans="1:26" x14ac:dyDescent="0.3">
      <c r="A35" s="26" t="s">
        <v>243</v>
      </c>
      <c r="B35" s="1">
        <f>B16+I17</f>
        <v>689</v>
      </c>
      <c r="C35" s="1" t="s">
        <v>244</v>
      </c>
      <c r="D35" s="1">
        <f>D16+K17</f>
        <v>714</v>
      </c>
      <c r="E35" s="1" t="s">
        <v>244</v>
      </c>
      <c r="F35" s="27">
        <f>F16+M17</f>
        <v>497</v>
      </c>
      <c r="H35" s="26" t="s">
        <v>235</v>
      </c>
      <c r="I35" s="1">
        <f t="shared" si="1"/>
        <v>71</v>
      </c>
      <c r="J35" s="1">
        <f t="shared" si="2"/>
        <v>73</v>
      </c>
      <c r="K35" s="1">
        <f t="shared" si="3"/>
        <v>7</v>
      </c>
      <c r="L35" s="27">
        <f t="shared" si="4"/>
        <v>151</v>
      </c>
      <c r="N35" s="26" t="s">
        <v>235</v>
      </c>
      <c r="O35" s="1">
        <f t="shared" si="5"/>
        <v>0</v>
      </c>
      <c r="P35" s="1">
        <f t="shared" si="6"/>
        <v>0</v>
      </c>
      <c r="Q35" s="1">
        <f t="shared" si="7"/>
        <v>0</v>
      </c>
      <c r="R35" s="27">
        <f t="shared" si="8"/>
        <v>0</v>
      </c>
    </row>
    <row r="36" spans="1:26" x14ac:dyDescent="0.3">
      <c r="A36" s="26" t="s">
        <v>245</v>
      </c>
      <c r="B36" s="1">
        <f t="shared" ref="B36:B44" si="9">B17+I18</f>
        <v>984</v>
      </c>
      <c r="C36" s="1" t="s">
        <v>246</v>
      </c>
      <c r="D36" s="1">
        <f t="shared" ref="D36:D44" si="10">D17+K18</f>
        <v>760</v>
      </c>
      <c r="E36" s="1" t="s">
        <v>246</v>
      </c>
      <c r="F36" s="27">
        <f t="shared" ref="F36:F44" si="11">F17+M18</f>
        <v>548</v>
      </c>
      <c r="H36" s="26" t="s">
        <v>236</v>
      </c>
      <c r="I36" s="1">
        <f t="shared" si="1"/>
        <v>51</v>
      </c>
      <c r="J36" s="1">
        <f t="shared" si="2"/>
        <v>24</v>
      </c>
      <c r="K36" s="1">
        <f t="shared" si="3"/>
        <v>17</v>
      </c>
      <c r="L36" s="27">
        <f t="shared" si="4"/>
        <v>92</v>
      </c>
      <c r="N36" s="26" t="s">
        <v>236</v>
      </c>
      <c r="O36" s="1">
        <f t="shared" si="5"/>
        <v>0</v>
      </c>
      <c r="P36" s="1">
        <f t="shared" si="6"/>
        <v>0</v>
      </c>
      <c r="Q36" s="1">
        <f t="shared" si="7"/>
        <v>0</v>
      </c>
      <c r="R36" s="27">
        <f t="shared" si="8"/>
        <v>0</v>
      </c>
    </row>
    <row r="37" spans="1:26" x14ac:dyDescent="0.3">
      <c r="A37" s="26" t="s">
        <v>247</v>
      </c>
      <c r="B37" s="1">
        <f t="shared" si="9"/>
        <v>574</v>
      </c>
      <c r="C37" s="1" t="s">
        <v>248</v>
      </c>
      <c r="D37" s="1">
        <f t="shared" si="10"/>
        <v>606</v>
      </c>
      <c r="E37" s="1" t="s">
        <v>248</v>
      </c>
      <c r="F37" s="27">
        <f t="shared" si="11"/>
        <v>685</v>
      </c>
      <c r="H37" s="26" t="s">
        <v>237</v>
      </c>
      <c r="I37" s="1">
        <f t="shared" si="1"/>
        <v>18</v>
      </c>
      <c r="J37" s="1">
        <f t="shared" si="2"/>
        <v>127</v>
      </c>
      <c r="K37" s="1">
        <f t="shared" si="3"/>
        <v>6</v>
      </c>
      <c r="L37" s="27">
        <f t="shared" si="4"/>
        <v>151</v>
      </c>
      <c r="N37" s="26" t="s">
        <v>237</v>
      </c>
      <c r="O37" s="1">
        <f t="shared" si="5"/>
        <v>0</v>
      </c>
      <c r="P37" s="1">
        <f t="shared" si="6"/>
        <v>0</v>
      </c>
      <c r="Q37" s="1">
        <f t="shared" si="7"/>
        <v>0</v>
      </c>
      <c r="R37" s="27">
        <f t="shared" si="8"/>
        <v>0</v>
      </c>
    </row>
    <row r="38" spans="1:26" x14ac:dyDescent="0.3">
      <c r="A38" s="26" t="s">
        <v>249</v>
      </c>
      <c r="B38" s="1">
        <f t="shared" si="9"/>
        <v>939</v>
      </c>
      <c r="C38" s="1" t="s">
        <v>250</v>
      </c>
      <c r="D38" s="1">
        <f t="shared" si="10"/>
        <v>827</v>
      </c>
      <c r="E38" s="1" t="s">
        <v>250</v>
      </c>
      <c r="F38" s="27">
        <f t="shared" si="11"/>
        <v>694</v>
      </c>
      <c r="H38" s="26" t="s">
        <v>238</v>
      </c>
      <c r="I38" s="1">
        <f t="shared" si="1"/>
        <v>30</v>
      </c>
      <c r="J38" s="1">
        <f t="shared" si="2"/>
        <v>39</v>
      </c>
      <c r="K38" s="1">
        <f t="shared" si="3"/>
        <v>5</v>
      </c>
      <c r="L38" s="27">
        <f t="shared" si="4"/>
        <v>74</v>
      </c>
      <c r="N38" s="26" t="s">
        <v>238</v>
      </c>
      <c r="O38" s="1">
        <f t="shared" si="5"/>
        <v>0</v>
      </c>
      <c r="P38" s="1">
        <f t="shared" si="6"/>
        <v>0</v>
      </c>
      <c r="Q38" s="1">
        <f t="shared" si="7"/>
        <v>0</v>
      </c>
      <c r="R38" s="27">
        <f t="shared" si="8"/>
        <v>0</v>
      </c>
    </row>
    <row r="39" spans="1:26" x14ac:dyDescent="0.3">
      <c r="A39" s="26" t="s">
        <v>251</v>
      </c>
      <c r="B39" s="1">
        <f t="shared" si="9"/>
        <v>670</v>
      </c>
      <c r="C39" s="1" t="s">
        <v>252</v>
      </c>
      <c r="D39" s="1">
        <f t="shared" si="10"/>
        <v>809</v>
      </c>
      <c r="E39" s="1" t="s">
        <v>252</v>
      </c>
      <c r="F39" s="27">
        <f t="shared" si="11"/>
        <v>591</v>
      </c>
      <c r="H39" s="26" t="s">
        <v>239</v>
      </c>
      <c r="I39" s="1">
        <f t="shared" si="1"/>
        <v>109</v>
      </c>
      <c r="J39" s="1">
        <f t="shared" si="2"/>
        <v>25</v>
      </c>
      <c r="K39" s="1">
        <f t="shared" si="3"/>
        <v>14</v>
      </c>
      <c r="L39" s="27">
        <f t="shared" si="4"/>
        <v>148</v>
      </c>
      <c r="N39" s="26" t="s">
        <v>239</v>
      </c>
      <c r="O39" s="1">
        <f t="shared" si="5"/>
        <v>0</v>
      </c>
      <c r="P39" s="1">
        <f t="shared" si="6"/>
        <v>0</v>
      </c>
      <c r="Q39" s="1">
        <f t="shared" si="7"/>
        <v>0</v>
      </c>
      <c r="R39" s="27">
        <f t="shared" si="8"/>
        <v>0</v>
      </c>
    </row>
    <row r="40" spans="1:26" x14ac:dyDescent="0.3">
      <c r="A40" s="26" t="s">
        <v>253</v>
      </c>
      <c r="B40" s="1">
        <f t="shared" si="9"/>
        <v>694</v>
      </c>
      <c r="C40" s="1" t="s">
        <v>254</v>
      </c>
      <c r="D40" s="1">
        <f t="shared" si="10"/>
        <v>573</v>
      </c>
      <c r="E40" s="1" t="s">
        <v>254</v>
      </c>
      <c r="F40" s="27">
        <f t="shared" si="11"/>
        <v>405</v>
      </c>
      <c r="H40" s="26" t="s">
        <v>240</v>
      </c>
      <c r="I40" s="1">
        <f t="shared" si="1"/>
        <v>73</v>
      </c>
      <c r="J40" s="1">
        <f t="shared" si="2"/>
        <v>12</v>
      </c>
      <c r="K40" s="1">
        <f t="shared" si="3"/>
        <v>218</v>
      </c>
      <c r="L40" s="27">
        <f t="shared" si="4"/>
        <v>303</v>
      </c>
      <c r="N40" s="26" t="s">
        <v>240</v>
      </c>
      <c r="O40" s="1">
        <f t="shared" si="5"/>
        <v>0</v>
      </c>
      <c r="P40" s="1">
        <f t="shared" si="6"/>
        <v>0</v>
      </c>
      <c r="Q40" s="1">
        <f t="shared" si="7"/>
        <v>0</v>
      </c>
      <c r="R40" s="27">
        <f t="shared" si="8"/>
        <v>0</v>
      </c>
    </row>
    <row r="41" spans="1:26" x14ac:dyDescent="0.3">
      <c r="A41" s="26" t="s">
        <v>255</v>
      </c>
      <c r="B41" s="1">
        <f t="shared" si="9"/>
        <v>730</v>
      </c>
      <c r="C41" s="1" t="s">
        <v>256</v>
      </c>
      <c r="D41" s="1">
        <f t="shared" si="10"/>
        <v>557</v>
      </c>
      <c r="E41" s="1" t="s">
        <v>256</v>
      </c>
      <c r="F41" s="27">
        <f t="shared" si="11"/>
        <v>316</v>
      </c>
      <c r="H41" s="26" t="s">
        <v>241</v>
      </c>
      <c r="I41" s="1">
        <f t="shared" si="1"/>
        <v>376</v>
      </c>
      <c r="J41" s="1">
        <f t="shared" si="2"/>
        <v>31</v>
      </c>
      <c r="K41" s="1">
        <f t="shared" si="3"/>
        <v>420</v>
      </c>
      <c r="L41" s="27">
        <f t="shared" si="4"/>
        <v>827</v>
      </c>
      <c r="N41" s="26" t="s">
        <v>241</v>
      </c>
      <c r="O41" s="1">
        <f t="shared" si="5"/>
        <v>0</v>
      </c>
      <c r="P41" s="1">
        <f t="shared" si="6"/>
        <v>0</v>
      </c>
      <c r="Q41" s="1">
        <f t="shared" si="7"/>
        <v>0</v>
      </c>
      <c r="R41" s="27">
        <f t="shared" si="8"/>
        <v>0</v>
      </c>
    </row>
    <row r="42" spans="1:26" x14ac:dyDescent="0.3">
      <c r="A42" s="26" t="s">
        <v>257</v>
      </c>
      <c r="B42" s="1">
        <f t="shared" si="9"/>
        <v>513</v>
      </c>
      <c r="C42" s="1" t="s">
        <v>258</v>
      </c>
      <c r="D42" s="1">
        <f t="shared" si="10"/>
        <v>675</v>
      </c>
      <c r="E42" s="1" t="s">
        <v>258</v>
      </c>
      <c r="F42" s="27">
        <f t="shared" si="11"/>
        <v>532</v>
      </c>
      <c r="H42" s="28" t="s">
        <v>49</v>
      </c>
      <c r="I42" s="29">
        <f>SUM(I32:I41)</f>
        <v>1016</v>
      </c>
      <c r="J42" s="29">
        <f>SUM(J32:J41)</f>
        <v>722</v>
      </c>
      <c r="K42" s="29">
        <f>SUM(K32:K41)</f>
        <v>711</v>
      </c>
      <c r="L42" s="30">
        <f t="shared" si="4"/>
        <v>2449</v>
      </c>
      <c r="N42" s="28" t="s">
        <v>49</v>
      </c>
      <c r="O42" s="29">
        <f>SUM(O32:O41)</f>
        <v>0</v>
      </c>
      <c r="P42" s="29">
        <f>SUM(P32:P41)</f>
        <v>0</v>
      </c>
      <c r="Q42" s="29">
        <f>SUM(Q32:Q41)</f>
        <v>0</v>
      </c>
      <c r="R42" s="30">
        <f t="shared" si="8"/>
        <v>0</v>
      </c>
    </row>
    <row r="43" spans="1:26" x14ac:dyDescent="0.3">
      <c r="A43" s="26" t="s">
        <v>259</v>
      </c>
      <c r="B43" s="1">
        <f t="shared" si="9"/>
        <v>737</v>
      </c>
      <c r="C43" s="1" t="s">
        <v>260</v>
      </c>
      <c r="D43" s="1">
        <f t="shared" si="10"/>
        <v>863</v>
      </c>
      <c r="E43" s="1" t="s">
        <v>260</v>
      </c>
      <c r="F43" s="27">
        <f t="shared" si="11"/>
        <v>543</v>
      </c>
    </row>
    <row r="44" spans="1:26" x14ac:dyDescent="0.3">
      <c r="A44" s="28" t="s">
        <v>261</v>
      </c>
      <c r="B44" s="29">
        <f t="shared" si="9"/>
        <v>1000</v>
      </c>
      <c r="C44" s="29" t="s">
        <v>262</v>
      </c>
      <c r="D44" s="29">
        <f t="shared" si="10"/>
        <v>979</v>
      </c>
      <c r="E44" s="29" t="s">
        <v>262</v>
      </c>
      <c r="F44" s="30">
        <f t="shared" si="11"/>
        <v>544</v>
      </c>
      <c r="H44" s="1" t="s">
        <v>263</v>
      </c>
      <c r="I44" s="2">
        <f>L42*5+R42*3+(B28-B27)*2</f>
        <v>12245</v>
      </c>
    </row>
    <row r="45" spans="1:26" x14ac:dyDescent="0.3">
      <c r="H45" s="49" t="s">
        <v>267</v>
      </c>
    </row>
  </sheetData>
  <scenarios current="0">
    <scenario name="1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</scenario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7B6A-52E9-4C34-9823-EDE7205EA8D6}">
  <dimension ref="A1:Z45"/>
  <sheetViews>
    <sheetView topLeftCell="A16" workbookViewId="0">
      <selection activeCell="K49" sqref="K49"/>
    </sheetView>
  </sheetViews>
  <sheetFormatPr defaultRowHeight="14.4" x14ac:dyDescent="0.3"/>
  <cols>
    <col min="1" max="1" width="14.109375" customWidth="1"/>
    <col min="2" max="2" width="10" customWidth="1"/>
    <col min="3" max="3" width="9.88671875" customWidth="1"/>
    <col min="4" max="4" width="11.6640625" customWidth="1"/>
    <col min="6" max="6" width="10.33203125" customWidth="1"/>
    <col min="7" max="7" width="9.77734375" customWidth="1"/>
    <col min="8" max="8" width="12.44140625" customWidth="1"/>
  </cols>
  <sheetData>
    <row r="1" spans="1:26" x14ac:dyDescent="0.3">
      <c r="A1" s="34"/>
      <c r="B1" s="35" t="s">
        <v>71</v>
      </c>
      <c r="C1" s="32"/>
      <c r="D1" s="33"/>
      <c r="F1" s="31" t="s">
        <v>72</v>
      </c>
      <c r="G1" s="32"/>
      <c r="H1" s="33"/>
      <c r="J1" s="43" t="s">
        <v>264</v>
      </c>
      <c r="K1" s="24"/>
      <c r="L1" s="24"/>
      <c r="M1" s="24"/>
      <c r="N1" s="24"/>
      <c r="O1" s="25"/>
      <c r="Q1" s="31" t="s">
        <v>265</v>
      </c>
      <c r="R1" s="32"/>
      <c r="S1" s="32"/>
      <c r="T1" s="32"/>
      <c r="U1" s="32"/>
      <c r="V1" s="33"/>
    </row>
    <row r="2" spans="1:26" x14ac:dyDescent="0.3">
      <c r="A2" s="36" t="s">
        <v>22</v>
      </c>
      <c r="B2" s="21" t="s">
        <v>15</v>
      </c>
      <c r="C2" s="21" t="s">
        <v>16</v>
      </c>
      <c r="D2" s="37" t="s">
        <v>17</v>
      </c>
      <c r="F2" s="36" t="s">
        <v>15</v>
      </c>
      <c r="G2" s="22" t="s">
        <v>16</v>
      </c>
      <c r="H2" s="41" t="s">
        <v>17</v>
      </c>
      <c r="J2" s="26" t="s">
        <v>12</v>
      </c>
      <c r="K2" s="1" t="s">
        <v>75</v>
      </c>
      <c r="L2" s="1" t="s">
        <v>13</v>
      </c>
      <c r="M2" s="1" t="s">
        <v>75</v>
      </c>
      <c r="N2" s="1" t="s">
        <v>14</v>
      </c>
      <c r="O2" s="27" t="s">
        <v>75</v>
      </c>
      <c r="Q2" s="26" t="s">
        <v>12</v>
      </c>
      <c r="R2" s="1" t="s">
        <v>75</v>
      </c>
      <c r="S2" s="1" t="s">
        <v>13</v>
      </c>
      <c r="T2" s="1" t="s">
        <v>75</v>
      </c>
      <c r="U2" s="1" t="s">
        <v>14</v>
      </c>
      <c r="V2" s="27" t="s">
        <v>75</v>
      </c>
    </row>
    <row r="3" spans="1:26" x14ac:dyDescent="0.3">
      <c r="A3" s="26">
        <v>1</v>
      </c>
      <c r="B3">
        <v>868.99999999999977</v>
      </c>
      <c r="C3">
        <v>716.53333333333319</v>
      </c>
      <c r="D3" s="38">
        <v>502.06666666666689</v>
      </c>
      <c r="F3" s="26">
        <f>ROUNDUP(B3,0)</f>
        <v>869</v>
      </c>
      <c r="G3" s="1">
        <f>ROUNDUP(C3,0)</f>
        <v>717</v>
      </c>
      <c r="H3" s="27">
        <f>ROUNDUP(D3,0)</f>
        <v>503</v>
      </c>
      <c r="J3" s="26" t="s">
        <v>108</v>
      </c>
      <c r="K3" s="1">
        <v>869</v>
      </c>
      <c r="L3" s="1" t="s">
        <v>109</v>
      </c>
      <c r="M3" s="1">
        <v>717</v>
      </c>
      <c r="N3" s="1" t="s">
        <v>110</v>
      </c>
      <c r="O3" s="27">
        <v>503</v>
      </c>
      <c r="Q3" s="45"/>
      <c r="R3" s="1">
        <v>820</v>
      </c>
      <c r="T3" s="1">
        <v>775</v>
      </c>
      <c r="V3" s="27">
        <v>502</v>
      </c>
    </row>
    <row r="4" spans="1:26" x14ac:dyDescent="0.3">
      <c r="A4" s="26">
        <v>2</v>
      </c>
      <c r="B4">
        <v>983.66666666666652</v>
      </c>
      <c r="C4">
        <v>759.86666666666656</v>
      </c>
      <c r="D4" s="38">
        <v>547.4000000000002</v>
      </c>
      <c r="F4" s="26">
        <f t="shared" ref="F4:H12" si="0">ROUNDUP(B4,0)</f>
        <v>984</v>
      </c>
      <c r="G4" s="1">
        <f t="shared" si="0"/>
        <v>760</v>
      </c>
      <c r="H4" s="27">
        <f t="shared" si="0"/>
        <v>548</v>
      </c>
      <c r="J4" s="26" t="s">
        <v>111</v>
      </c>
      <c r="K4" s="1">
        <v>984</v>
      </c>
      <c r="L4" s="1" t="s">
        <v>112</v>
      </c>
      <c r="M4" s="1">
        <v>760</v>
      </c>
      <c r="N4" s="1" t="s">
        <v>113</v>
      </c>
      <c r="O4" s="27">
        <v>548</v>
      </c>
      <c r="Q4" s="45"/>
      <c r="R4" s="1">
        <v>995</v>
      </c>
      <c r="T4" s="1">
        <v>801</v>
      </c>
      <c r="V4" s="27">
        <v>559</v>
      </c>
    </row>
    <row r="5" spans="1:26" x14ac:dyDescent="0.3">
      <c r="A5" s="26">
        <v>3</v>
      </c>
      <c r="B5">
        <v>757.66666666666629</v>
      </c>
      <c r="C5">
        <v>946.20000000000016</v>
      </c>
      <c r="D5" s="38">
        <v>684.73333333333369</v>
      </c>
      <c r="F5" s="26">
        <f t="shared" si="0"/>
        <v>758</v>
      </c>
      <c r="G5" s="1">
        <f t="shared" si="0"/>
        <v>947</v>
      </c>
      <c r="H5" s="27">
        <f t="shared" si="0"/>
        <v>685</v>
      </c>
      <c r="J5" s="26" t="s">
        <v>114</v>
      </c>
      <c r="K5" s="1">
        <v>758</v>
      </c>
      <c r="L5" s="1" t="s">
        <v>115</v>
      </c>
      <c r="M5" s="1">
        <v>947</v>
      </c>
      <c r="N5" s="1" t="s">
        <v>116</v>
      </c>
      <c r="O5" s="27">
        <v>685</v>
      </c>
      <c r="Q5" s="45"/>
      <c r="R5" s="1">
        <v>720</v>
      </c>
      <c r="T5" s="1">
        <v>895</v>
      </c>
      <c r="V5" s="27">
        <v>693</v>
      </c>
    </row>
    <row r="6" spans="1:26" x14ac:dyDescent="0.3">
      <c r="A6" s="26">
        <v>4</v>
      </c>
      <c r="B6">
        <v>1032.333333333333</v>
      </c>
      <c r="C6">
        <v>826.19999999999982</v>
      </c>
      <c r="D6" s="38">
        <v>711.4000000000002</v>
      </c>
      <c r="F6" s="26">
        <f t="shared" si="0"/>
        <v>1033</v>
      </c>
      <c r="G6" s="1">
        <f t="shared" si="0"/>
        <v>827</v>
      </c>
      <c r="H6" s="27">
        <f t="shared" si="0"/>
        <v>712</v>
      </c>
      <c r="J6" s="26" t="s">
        <v>117</v>
      </c>
      <c r="K6" s="1">
        <v>1033</v>
      </c>
      <c r="L6" s="1" t="s">
        <v>118</v>
      </c>
      <c r="M6" s="1">
        <v>827</v>
      </c>
      <c r="N6" s="1" t="s">
        <v>119</v>
      </c>
      <c r="O6" s="27">
        <v>712</v>
      </c>
      <c r="Q6" s="45"/>
      <c r="R6" s="1">
        <v>1010</v>
      </c>
      <c r="T6" s="1">
        <v>900</v>
      </c>
      <c r="V6" s="27">
        <v>701</v>
      </c>
    </row>
    <row r="7" spans="1:26" x14ac:dyDescent="0.3">
      <c r="A7" s="26">
        <v>5</v>
      </c>
      <c r="B7">
        <v>674</v>
      </c>
      <c r="C7">
        <v>813.19999999999982</v>
      </c>
      <c r="D7" s="38">
        <v>598.06666666666695</v>
      </c>
      <c r="F7" s="26">
        <f t="shared" si="0"/>
        <v>674</v>
      </c>
      <c r="G7" s="1">
        <f t="shared" si="0"/>
        <v>814</v>
      </c>
      <c r="H7" s="27">
        <f t="shared" si="0"/>
        <v>599</v>
      </c>
      <c r="J7" s="26" t="s">
        <v>120</v>
      </c>
      <c r="K7" s="1">
        <v>674</v>
      </c>
      <c r="L7" s="1" t="s">
        <v>121</v>
      </c>
      <c r="M7" s="1">
        <v>814</v>
      </c>
      <c r="N7" s="1" t="s">
        <v>122</v>
      </c>
      <c r="O7" s="27">
        <v>599</v>
      </c>
      <c r="Q7" s="45"/>
      <c r="R7" s="1">
        <v>721</v>
      </c>
      <c r="T7" s="1">
        <v>833</v>
      </c>
      <c r="V7" s="27">
        <v>608</v>
      </c>
    </row>
    <row r="8" spans="1:26" x14ac:dyDescent="0.3">
      <c r="A8" s="26">
        <v>6</v>
      </c>
      <c r="B8">
        <v>693.99999999999977</v>
      </c>
      <c r="C8">
        <v>721.53333333333319</v>
      </c>
      <c r="D8" s="38">
        <v>405.06666666666689</v>
      </c>
      <c r="F8" s="26">
        <f t="shared" si="0"/>
        <v>694</v>
      </c>
      <c r="G8" s="1">
        <f t="shared" si="0"/>
        <v>722</v>
      </c>
      <c r="H8" s="27">
        <f t="shared" si="0"/>
        <v>406</v>
      </c>
      <c r="J8" s="26" t="s">
        <v>123</v>
      </c>
      <c r="K8" s="1">
        <v>694</v>
      </c>
      <c r="L8" s="1" t="s">
        <v>124</v>
      </c>
      <c r="M8" s="1">
        <v>722</v>
      </c>
      <c r="N8" s="1" t="s">
        <v>125</v>
      </c>
      <c r="O8" s="27">
        <v>406</v>
      </c>
      <c r="Q8" s="45"/>
      <c r="R8" s="1">
        <v>712</v>
      </c>
      <c r="T8" s="1">
        <v>700</v>
      </c>
      <c r="V8" s="27">
        <v>411</v>
      </c>
    </row>
    <row r="9" spans="1:26" x14ac:dyDescent="0.3">
      <c r="A9" s="26">
        <v>7</v>
      </c>
      <c r="B9">
        <v>729.99999999999977</v>
      </c>
      <c r="C9">
        <v>596.86666666666656</v>
      </c>
      <c r="D9" s="38">
        <v>336.40000000000026</v>
      </c>
      <c r="F9" s="26">
        <f t="shared" si="0"/>
        <v>730</v>
      </c>
      <c r="G9" s="1">
        <f t="shared" si="0"/>
        <v>597</v>
      </c>
      <c r="H9" s="27">
        <f t="shared" si="0"/>
        <v>337</v>
      </c>
      <c r="J9" s="26" t="s">
        <v>126</v>
      </c>
      <c r="K9" s="1">
        <v>730</v>
      </c>
      <c r="L9" s="1" t="s">
        <v>127</v>
      </c>
      <c r="M9" s="1">
        <v>597</v>
      </c>
      <c r="N9" s="1" t="s">
        <v>128</v>
      </c>
      <c r="O9" s="27">
        <v>337</v>
      </c>
      <c r="Q9" s="45"/>
      <c r="R9" s="1">
        <v>760</v>
      </c>
      <c r="T9" s="1">
        <v>596</v>
      </c>
      <c r="V9" s="27">
        <v>321</v>
      </c>
    </row>
    <row r="10" spans="1:26" x14ac:dyDescent="0.3">
      <c r="A10" s="26">
        <v>8</v>
      </c>
      <c r="B10">
        <v>646.33333333333326</v>
      </c>
      <c r="C10">
        <v>706.5333333333333</v>
      </c>
      <c r="D10" s="38">
        <v>532.06666666666695</v>
      </c>
      <c r="F10" s="26">
        <f t="shared" si="0"/>
        <v>647</v>
      </c>
      <c r="G10" s="1">
        <f t="shared" si="0"/>
        <v>707</v>
      </c>
      <c r="H10" s="27">
        <f t="shared" si="0"/>
        <v>533</v>
      </c>
      <c r="J10" s="26" t="s">
        <v>129</v>
      </c>
      <c r="K10" s="1">
        <v>647</v>
      </c>
      <c r="L10" s="1" t="s">
        <v>130</v>
      </c>
      <c r="M10" s="1">
        <v>707</v>
      </c>
      <c r="N10" s="1" t="s">
        <v>131</v>
      </c>
      <c r="O10" s="27">
        <v>533</v>
      </c>
      <c r="Q10" s="45"/>
      <c r="R10" s="1">
        <v>622</v>
      </c>
      <c r="T10" s="1">
        <v>700</v>
      </c>
      <c r="V10" s="27">
        <v>546</v>
      </c>
    </row>
    <row r="11" spans="1:26" x14ac:dyDescent="0.3">
      <c r="A11" s="26">
        <v>9</v>
      </c>
      <c r="B11">
        <v>846.66666666666629</v>
      </c>
      <c r="C11">
        <v>878.5333333333333</v>
      </c>
      <c r="D11" s="38">
        <v>746.06666666666695</v>
      </c>
      <c r="F11" s="26">
        <f t="shared" si="0"/>
        <v>847</v>
      </c>
      <c r="G11" s="1">
        <f t="shared" si="0"/>
        <v>879</v>
      </c>
      <c r="H11" s="27">
        <f t="shared" si="0"/>
        <v>747</v>
      </c>
      <c r="J11" s="26" t="s">
        <v>132</v>
      </c>
      <c r="K11" s="1">
        <v>847</v>
      </c>
      <c r="L11" s="1" t="s">
        <v>133</v>
      </c>
      <c r="M11" s="1">
        <v>879</v>
      </c>
      <c r="N11" s="1" t="s">
        <v>134</v>
      </c>
      <c r="O11" s="27">
        <v>747</v>
      </c>
      <c r="Q11" s="45"/>
      <c r="R11" s="1">
        <v>810</v>
      </c>
      <c r="T11" s="1">
        <v>875</v>
      </c>
      <c r="V11" s="27">
        <v>761</v>
      </c>
    </row>
    <row r="12" spans="1:26" x14ac:dyDescent="0.3">
      <c r="A12" s="28">
        <v>10</v>
      </c>
      <c r="B12" s="39">
        <v>1312.3333333333335</v>
      </c>
      <c r="C12" s="39">
        <v>1119.5333333333333</v>
      </c>
      <c r="D12" s="40">
        <v>1002.7333333333337</v>
      </c>
      <c r="F12" s="28">
        <f t="shared" si="0"/>
        <v>1313</v>
      </c>
      <c r="G12" s="29">
        <f t="shared" si="0"/>
        <v>1120</v>
      </c>
      <c r="H12" s="30">
        <f t="shared" si="0"/>
        <v>1003</v>
      </c>
      <c r="J12" s="28" t="s">
        <v>135</v>
      </c>
      <c r="K12" s="29">
        <v>1313</v>
      </c>
      <c r="L12" s="29" t="s">
        <v>136</v>
      </c>
      <c r="M12" s="29">
        <v>1120</v>
      </c>
      <c r="N12" s="29" t="s">
        <v>137</v>
      </c>
      <c r="O12" s="30">
        <v>1003</v>
      </c>
      <c r="Q12" s="46"/>
      <c r="R12" s="29">
        <v>1376</v>
      </c>
      <c r="S12" s="39"/>
      <c r="T12" s="29">
        <v>1010</v>
      </c>
      <c r="U12" s="39"/>
      <c r="V12" s="30">
        <v>964</v>
      </c>
    </row>
    <row r="14" spans="1:26" x14ac:dyDescent="0.3">
      <c r="A14" s="31" t="s">
        <v>74</v>
      </c>
      <c r="B14" s="32"/>
      <c r="C14" s="32"/>
      <c r="D14" s="32"/>
      <c r="E14" s="32"/>
      <c r="F14" s="33"/>
    </row>
    <row r="15" spans="1:26" x14ac:dyDescent="0.3">
      <c r="A15" s="26" t="s">
        <v>12</v>
      </c>
      <c r="B15" s="1" t="s">
        <v>75</v>
      </c>
      <c r="C15" s="1" t="s">
        <v>13</v>
      </c>
      <c r="D15" s="1" t="s">
        <v>75</v>
      </c>
      <c r="E15" s="1" t="s">
        <v>14</v>
      </c>
      <c r="F15" s="27" t="s">
        <v>75</v>
      </c>
      <c r="G15" s="1"/>
      <c r="H15" s="42" t="s">
        <v>138</v>
      </c>
      <c r="I15" s="24"/>
      <c r="J15" s="24"/>
      <c r="K15" s="24"/>
      <c r="L15" s="24"/>
      <c r="M15" s="25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26" t="s">
        <v>76</v>
      </c>
      <c r="B16" s="1">
        <v>759</v>
      </c>
      <c r="C16" s="1" t="s">
        <v>77</v>
      </c>
      <c r="D16" s="1">
        <v>633</v>
      </c>
      <c r="E16" s="1" t="s">
        <v>78</v>
      </c>
      <c r="F16" s="27">
        <v>379</v>
      </c>
      <c r="G16" s="1"/>
      <c r="H16" s="26" t="s">
        <v>12</v>
      </c>
      <c r="I16" s="1" t="s">
        <v>75</v>
      </c>
      <c r="J16" s="1" t="s">
        <v>13</v>
      </c>
      <c r="K16" s="1" t="s">
        <v>75</v>
      </c>
      <c r="L16" s="1" t="s">
        <v>14</v>
      </c>
      <c r="M16" s="27" t="s">
        <v>75</v>
      </c>
      <c r="N16" s="1"/>
      <c r="O16" s="42" t="s">
        <v>169</v>
      </c>
      <c r="P16" s="24"/>
      <c r="Q16" s="24"/>
      <c r="R16" s="24"/>
      <c r="S16" s="23"/>
      <c r="T16" s="24"/>
      <c r="U16" s="24"/>
      <c r="V16" s="25"/>
      <c r="W16" s="24"/>
      <c r="X16" s="24"/>
      <c r="Y16" s="24"/>
      <c r="Z16" s="25"/>
    </row>
    <row r="17" spans="1:26" x14ac:dyDescent="0.3">
      <c r="A17" s="26" t="s">
        <v>79</v>
      </c>
      <c r="B17" s="1">
        <v>980</v>
      </c>
      <c r="C17" s="1" t="s">
        <v>80</v>
      </c>
      <c r="D17" s="1">
        <v>760</v>
      </c>
      <c r="E17" s="1" t="s">
        <v>81</v>
      </c>
      <c r="F17" s="27">
        <v>548</v>
      </c>
      <c r="G17" s="1"/>
      <c r="H17" s="26" t="s">
        <v>139</v>
      </c>
      <c r="I17" s="1">
        <v>55</v>
      </c>
      <c r="J17" s="1" t="s">
        <v>140</v>
      </c>
      <c r="K17" s="1">
        <v>83</v>
      </c>
      <c r="L17" s="1" t="s">
        <v>141</v>
      </c>
      <c r="M17" s="27">
        <v>110</v>
      </c>
      <c r="N17" s="1"/>
      <c r="O17" s="28" t="s">
        <v>12</v>
      </c>
      <c r="P17" s="29" t="s">
        <v>75</v>
      </c>
      <c r="Q17" s="29"/>
      <c r="R17" s="29"/>
      <c r="S17" s="28" t="s">
        <v>13</v>
      </c>
      <c r="T17" s="29" t="s">
        <v>75</v>
      </c>
      <c r="U17" s="29"/>
      <c r="V17" s="30"/>
      <c r="W17" s="29" t="s">
        <v>14</v>
      </c>
      <c r="X17" s="29" t="s">
        <v>75</v>
      </c>
      <c r="Y17" s="29"/>
      <c r="Z17" s="30"/>
    </row>
    <row r="18" spans="1:26" x14ac:dyDescent="0.3">
      <c r="A18" s="26" t="s">
        <v>82</v>
      </c>
      <c r="B18" s="1">
        <v>717</v>
      </c>
      <c r="C18" s="1" t="s">
        <v>83</v>
      </c>
      <c r="D18" s="1">
        <v>890</v>
      </c>
      <c r="E18" s="1" t="s">
        <v>84</v>
      </c>
      <c r="F18" s="27">
        <v>685</v>
      </c>
      <c r="G18" s="1"/>
      <c r="H18" s="26" t="s">
        <v>142</v>
      </c>
      <c r="I18" s="1">
        <f>MAX(0,B16+I17-R3)</f>
        <v>0</v>
      </c>
      <c r="J18" s="1" t="s">
        <v>143</v>
      </c>
      <c r="K18" s="1">
        <f>MAX(0,D16+K17-T3)</f>
        <v>0</v>
      </c>
      <c r="L18" s="1" t="s">
        <v>144</v>
      </c>
      <c r="M18" s="27">
        <f>MAX(0,F16+M17-V3)</f>
        <v>0</v>
      </c>
      <c r="N18" s="1"/>
      <c r="O18" s="23" t="s">
        <v>170</v>
      </c>
      <c r="P18" s="24">
        <v>150</v>
      </c>
      <c r="Q18" s="24" t="s">
        <v>171</v>
      </c>
      <c r="R18" s="25">
        <v>1000</v>
      </c>
      <c r="S18" s="23" t="s">
        <v>172</v>
      </c>
      <c r="T18" s="24">
        <v>150</v>
      </c>
      <c r="U18" s="24" t="s">
        <v>173</v>
      </c>
      <c r="V18" s="25">
        <v>1000</v>
      </c>
      <c r="W18" s="23" t="s">
        <v>174</v>
      </c>
      <c r="X18" s="24">
        <v>150</v>
      </c>
      <c r="Y18" s="24" t="s">
        <v>175</v>
      </c>
      <c r="Z18" s="25">
        <v>1000</v>
      </c>
    </row>
    <row r="19" spans="1:26" x14ac:dyDescent="0.3">
      <c r="A19" s="26" t="s">
        <v>85</v>
      </c>
      <c r="B19" s="1">
        <v>999</v>
      </c>
      <c r="C19" s="1" t="s">
        <v>86</v>
      </c>
      <c r="D19" s="1">
        <v>827</v>
      </c>
      <c r="E19" s="1" t="s">
        <v>87</v>
      </c>
      <c r="F19" s="27">
        <v>686</v>
      </c>
      <c r="G19" s="1"/>
      <c r="H19" s="26" t="s">
        <v>145</v>
      </c>
      <c r="I19" s="1">
        <f t="shared" ref="I19:I27" si="1">MAX(0,B17+I18-R4)</f>
        <v>0</v>
      </c>
      <c r="J19" s="1" t="s">
        <v>146</v>
      </c>
      <c r="K19" s="1">
        <f t="shared" ref="K19:K27" si="2">MAX(0,D17+K18-T4)</f>
        <v>0</v>
      </c>
      <c r="L19" s="1" t="s">
        <v>147</v>
      </c>
      <c r="M19" s="27">
        <f t="shared" ref="M19:M27" si="3">MAX(0,F17+M18-V4)</f>
        <v>0</v>
      </c>
      <c r="N19" s="1"/>
      <c r="O19" s="26" t="s">
        <v>176</v>
      </c>
      <c r="P19" s="1">
        <v>150</v>
      </c>
      <c r="Q19" s="1" t="s">
        <v>177</v>
      </c>
      <c r="R19" s="27">
        <v>1000</v>
      </c>
      <c r="S19" s="26" t="s">
        <v>178</v>
      </c>
      <c r="T19" s="1">
        <v>150</v>
      </c>
      <c r="U19" s="1" t="s">
        <v>179</v>
      </c>
      <c r="V19" s="27">
        <v>1000</v>
      </c>
      <c r="W19" s="26" t="s">
        <v>180</v>
      </c>
      <c r="X19" s="1">
        <v>150</v>
      </c>
      <c r="Y19" s="1" t="s">
        <v>181</v>
      </c>
      <c r="Z19" s="27">
        <v>1000</v>
      </c>
    </row>
    <row r="20" spans="1:26" x14ac:dyDescent="0.3">
      <c r="A20" s="26" t="s">
        <v>88</v>
      </c>
      <c r="B20" s="1">
        <v>672</v>
      </c>
      <c r="C20" s="1" t="s">
        <v>89</v>
      </c>
      <c r="D20" s="1">
        <v>814</v>
      </c>
      <c r="E20" s="1" t="s">
        <v>90</v>
      </c>
      <c r="F20" s="27">
        <v>599</v>
      </c>
      <c r="G20" s="1"/>
      <c r="H20" s="26" t="s">
        <v>148</v>
      </c>
      <c r="I20" s="1">
        <f t="shared" si="1"/>
        <v>0</v>
      </c>
      <c r="J20" s="1" t="s">
        <v>149</v>
      </c>
      <c r="K20" s="1">
        <f t="shared" si="2"/>
        <v>0</v>
      </c>
      <c r="L20" s="1" t="s">
        <v>150</v>
      </c>
      <c r="M20" s="27">
        <f t="shared" si="3"/>
        <v>0</v>
      </c>
      <c r="N20" s="1"/>
      <c r="O20" s="26" t="s">
        <v>182</v>
      </c>
      <c r="P20" s="1">
        <v>150</v>
      </c>
      <c r="Q20" s="1" t="s">
        <v>183</v>
      </c>
      <c r="R20" s="27">
        <v>1000</v>
      </c>
      <c r="S20" s="26" t="s">
        <v>184</v>
      </c>
      <c r="T20" s="1">
        <v>150</v>
      </c>
      <c r="U20" s="1" t="s">
        <v>185</v>
      </c>
      <c r="V20" s="27">
        <v>1000</v>
      </c>
      <c r="W20" s="26" t="s">
        <v>186</v>
      </c>
      <c r="X20" s="1">
        <v>150</v>
      </c>
      <c r="Y20" s="1" t="s">
        <v>187</v>
      </c>
      <c r="Z20" s="27">
        <v>1000</v>
      </c>
    </row>
    <row r="21" spans="1:26" x14ac:dyDescent="0.3">
      <c r="A21" s="26" t="s">
        <v>91</v>
      </c>
      <c r="B21" s="1">
        <v>693</v>
      </c>
      <c r="C21" s="1" t="s">
        <v>92</v>
      </c>
      <c r="D21" s="1">
        <v>694</v>
      </c>
      <c r="E21" s="1" t="s">
        <v>93</v>
      </c>
      <c r="F21" s="27">
        <v>405</v>
      </c>
      <c r="G21" s="1"/>
      <c r="H21" s="26" t="s">
        <v>151</v>
      </c>
      <c r="I21" s="1">
        <f t="shared" si="1"/>
        <v>0</v>
      </c>
      <c r="J21" s="1" t="s">
        <v>152</v>
      </c>
      <c r="K21" s="1">
        <f t="shared" si="2"/>
        <v>0</v>
      </c>
      <c r="L21" s="1" t="s">
        <v>153</v>
      </c>
      <c r="M21" s="27">
        <f t="shared" si="3"/>
        <v>0</v>
      </c>
      <c r="N21" s="1"/>
      <c r="O21" s="26" t="s">
        <v>188</v>
      </c>
      <c r="P21" s="1">
        <v>150</v>
      </c>
      <c r="Q21" s="1" t="s">
        <v>189</v>
      </c>
      <c r="R21" s="27">
        <v>1000</v>
      </c>
      <c r="S21" s="26" t="s">
        <v>190</v>
      </c>
      <c r="T21" s="1">
        <v>150</v>
      </c>
      <c r="U21" s="1" t="s">
        <v>191</v>
      </c>
      <c r="V21" s="27">
        <v>1000</v>
      </c>
      <c r="W21" s="26" t="s">
        <v>192</v>
      </c>
      <c r="X21" s="1">
        <v>150</v>
      </c>
      <c r="Y21" s="1" t="s">
        <v>193</v>
      </c>
      <c r="Z21" s="27">
        <v>1000</v>
      </c>
    </row>
    <row r="22" spans="1:26" x14ac:dyDescent="0.3">
      <c r="A22" s="26" t="s">
        <v>94</v>
      </c>
      <c r="B22" s="1">
        <v>729</v>
      </c>
      <c r="C22" s="1" t="s">
        <v>95</v>
      </c>
      <c r="D22" s="1">
        <v>578</v>
      </c>
      <c r="E22" s="1" t="s">
        <v>96</v>
      </c>
      <c r="F22" s="27">
        <v>281</v>
      </c>
      <c r="G22" s="1"/>
      <c r="H22" s="26" t="s">
        <v>154</v>
      </c>
      <c r="I22" s="1">
        <f t="shared" si="1"/>
        <v>0</v>
      </c>
      <c r="J22" s="1" t="s">
        <v>155</v>
      </c>
      <c r="K22" s="1">
        <f t="shared" si="2"/>
        <v>0</v>
      </c>
      <c r="L22" s="1" t="s">
        <v>156</v>
      </c>
      <c r="M22" s="27">
        <f t="shared" si="3"/>
        <v>0</v>
      </c>
      <c r="N22" s="1"/>
      <c r="O22" s="26" t="s">
        <v>194</v>
      </c>
      <c r="P22" s="1">
        <v>150</v>
      </c>
      <c r="Q22" s="1" t="s">
        <v>195</v>
      </c>
      <c r="R22" s="27">
        <v>1000</v>
      </c>
      <c r="S22" s="26" t="s">
        <v>196</v>
      </c>
      <c r="T22" s="1">
        <v>150</v>
      </c>
      <c r="U22" s="1" t="s">
        <v>197</v>
      </c>
      <c r="V22" s="27">
        <v>1000</v>
      </c>
      <c r="W22" s="26" t="s">
        <v>198</v>
      </c>
      <c r="X22" s="1">
        <v>150</v>
      </c>
      <c r="Y22" s="1" t="s">
        <v>199</v>
      </c>
      <c r="Z22" s="27">
        <v>1000</v>
      </c>
    </row>
    <row r="23" spans="1:26" x14ac:dyDescent="0.3">
      <c r="A23" s="26" t="s">
        <v>97</v>
      </c>
      <c r="B23" s="1">
        <v>621</v>
      </c>
      <c r="C23" s="1" t="s">
        <v>98</v>
      </c>
      <c r="D23" s="1">
        <v>681</v>
      </c>
      <c r="E23" s="1" t="s">
        <v>99</v>
      </c>
      <c r="F23" s="27">
        <v>231</v>
      </c>
      <c r="G23" s="1"/>
      <c r="H23" s="26" t="s">
        <v>157</v>
      </c>
      <c r="I23" s="1">
        <f t="shared" si="1"/>
        <v>0</v>
      </c>
      <c r="J23" s="1" t="s">
        <v>158</v>
      </c>
      <c r="K23" s="1">
        <f t="shared" si="2"/>
        <v>0</v>
      </c>
      <c r="L23" s="1" t="s">
        <v>159</v>
      </c>
      <c r="M23" s="27">
        <f t="shared" si="3"/>
        <v>0</v>
      </c>
      <c r="N23" s="1"/>
      <c r="O23" s="26" t="s">
        <v>200</v>
      </c>
      <c r="P23" s="1">
        <v>150</v>
      </c>
      <c r="Q23" s="1" t="s">
        <v>201</v>
      </c>
      <c r="R23" s="27">
        <v>1000</v>
      </c>
      <c r="S23" s="26" t="s">
        <v>202</v>
      </c>
      <c r="T23" s="1">
        <v>150</v>
      </c>
      <c r="U23" s="1" t="s">
        <v>203</v>
      </c>
      <c r="V23" s="27">
        <v>1000</v>
      </c>
      <c r="W23" s="26" t="s">
        <v>204</v>
      </c>
      <c r="X23" s="1">
        <v>150</v>
      </c>
      <c r="Y23" s="1" t="s">
        <v>205</v>
      </c>
      <c r="Z23" s="27">
        <v>1000</v>
      </c>
    </row>
    <row r="24" spans="1:26" x14ac:dyDescent="0.3">
      <c r="A24" s="26" t="s">
        <v>100</v>
      </c>
      <c r="B24" s="1">
        <v>805</v>
      </c>
      <c r="C24" s="1" t="s">
        <v>101</v>
      </c>
      <c r="D24" s="1">
        <v>874</v>
      </c>
      <c r="E24" s="1" t="s">
        <v>102</v>
      </c>
      <c r="F24" s="27">
        <v>231</v>
      </c>
      <c r="G24" s="1"/>
      <c r="H24" s="26" t="s">
        <v>160</v>
      </c>
      <c r="I24" s="1">
        <f t="shared" si="1"/>
        <v>0</v>
      </c>
      <c r="J24" s="1" t="s">
        <v>161</v>
      </c>
      <c r="K24" s="1">
        <f t="shared" si="2"/>
        <v>0</v>
      </c>
      <c r="L24" s="1" t="s">
        <v>162</v>
      </c>
      <c r="M24" s="27">
        <f t="shared" si="3"/>
        <v>0</v>
      </c>
      <c r="N24" s="1"/>
      <c r="O24" s="26" t="s">
        <v>206</v>
      </c>
      <c r="P24" s="1">
        <v>150</v>
      </c>
      <c r="Q24" s="1" t="s">
        <v>207</v>
      </c>
      <c r="R24" s="27">
        <v>1000</v>
      </c>
      <c r="S24" s="26" t="s">
        <v>208</v>
      </c>
      <c r="T24" s="1">
        <v>150</v>
      </c>
      <c r="U24" s="1" t="s">
        <v>209</v>
      </c>
      <c r="V24" s="27">
        <v>1000</v>
      </c>
      <c r="W24" s="26" t="s">
        <v>210</v>
      </c>
      <c r="X24" s="1">
        <v>150</v>
      </c>
      <c r="Y24" s="1" t="s">
        <v>211</v>
      </c>
      <c r="Z24" s="27">
        <v>1000</v>
      </c>
    </row>
    <row r="25" spans="1:26" x14ac:dyDescent="0.3">
      <c r="A25" s="28" t="s">
        <v>103</v>
      </c>
      <c r="B25" s="29">
        <v>999</v>
      </c>
      <c r="C25" s="29" t="s">
        <v>104</v>
      </c>
      <c r="D25" s="29">
        <v>1000</v>
      </c>
      <c r="E25" s="29" t="s">
        <v>105</v>
      </c>
      <c r="F25" s="30">
        <v>230</v>
      </c>
      <c r="G25" s="1"/>
      <c r="H25" s="26" t="s">
        <v>163</v>
      </c>
      <c r="I25" s="1">
        <f t="shared" si="1"/>
        <v>0</v>
      </c>
      <c r="J25" s="1" t="s">
        <v>164</v>
      </c>
      <c r="K25" s="1">
        <f t="shared" si="2"/>
        <v>0</v>
      </c>
      <c r="L25" s="1" t="s">
        <v>165</v>
      </c>
      <c r="M25" s="27">
        <f t="shared" si="3"/>
        <v>0</v>
      </c>
      <c r="N25" s="1"/>
      <c r="O25" s="26" t="s">
        <v>212</v>
      </c>
      <c r="P25" s="1">
        <v>150</v>
      </c>
      <c r="Q25" s="1" t="s">
        <v>213</v>
      </c>
      <c r="R25" s="27">
        <v>1000</v>
      </c>
      <c r="S25" s="26" t="s">
        <v>214</v>
      </c>
      <c r="T25" s="1">
        <v>150</v>
      </c>
      <c r="U25" s="1" t="s">
        <v>215</v>
      </c>
      <c r="V25" s="27">
        <v>1000</v>
      </c>
      <c r="W25" s="26" t="s">
        <v>216</v>
      </c>
      <c r="X25" s="1">
        <v>150</v>
      </c>
      <c r="Y25" s="1" t="s">
        <v>217</v>
      </c>
      <c r="Z25" s="27">
        <v>1000</v>
      </c>
    </row>
    <row r="26" spans="1:26" x14ac:dyDescent="0.3">
      <c r="A26" s="1"/>
      <c r="B26" s="1"/>
      <c r="C26" s="1"/>
      <c r="D26" s="1"/>
      <c r="E26" s="1"/>
      <c r="F26" s="1"/>
      <c r="G26" s="1"/>
      <c r="H26" s="28" t="s">
        <v>166</v>
      </c>
      <c r="I26" s="29">
        <f t="shared" si="1"/>
        <v>0</v>
      </c>
      <c r="J26" s="29" t="s">
        <v>167</v>
      </c>
      <c r="K26" s="29">
        <f t="shared" si="2"/>
        <v>0</v>
      </c>
      <c r="L26" s="29" t="s">
        <v>168</v>
      </c>
      <c r="M26" s="30">
        <f t="shared" si="3"/>
        <v>0</v>
      </c>
      <c r="N26" s="1"/>
      <c r="O26" s="26" t="s">
        <v>218</v>
      </c>
      <c r="P26" s="1">
        <v>150</v>
      </c>
      <c r="Q26" s="1" t="s">
        <v>219</v>
      </c>
      <c r="R26" s="27">
        <v>1000</v>
      </c>
      <c r="S26" s="26" t="s">
        <v>220</v>
      </c>
      <c r="T26" s="1">
        <v>150</v>
      </c>
      <c r="U26" s="1" t="s">
        <v>221</v>
      </c>
      <c r="V26" s="27">
        <v>1000</v>
      </c>
      <c r="W26" s="26" t="s">
        <v>222</v>
      </c>
      <c r="X26" s="1">
        <v>150</v>
      </c>
      <c r="Y26" s="1" t="s">
        <v>223</v>
      </c>
      <c r="Z26" s="27">
        <v>1000</v>
      </c>
    </row>
    <row r="27" spans="1:26" x14ac:dyDescent="0.3">
      <c r="A27" s="22" t="s">
        <v>106</v>
      </c>
      <c r="B27" s="48">
        <f>SUM(B16:B25,D16:D25,F16:F25)</f>
        <v>20000</v>
      </c>
      <c r="C27" s="1"/>
      <c r="D27" s="1"/>
      <c r="E27" s="1"/>
      <c r="F27" s="1"/>
      <c r="G27" s="1"/>
      <c r="H27" s="1"/>
      <c r="I27" s="1">
        <f t="shared" si="1"/>
        <v>0</v>
      </c>
      <c r="J27" s="1"/>
      <c r="K27" s="1">
        <f t="shared" si="2"/>
        <v>0</v>
      </c>
      <c r="L27" s="1"/>
      <c r="M27" s="1">
        <f t="shared" si="3"/>
        <v>0</v>
      </c>
      <c r="N27" s="1"/>
      <c r="O27" s="28" t="s">
        <v>224</v>
      </c>
      <c r="P27" s="29">
        <v>150</v>
      </c>
      <c r="Q27" s="29" t="s">
        <v>225</v>
      </c>
      <c r="R27" s="30">
        <v>1000</v>
      </c>
      <c r="S27" s="28" t="s">
        <v>226</v>
      </c>
      <c r="T27" s="29">
        <v>150</v>
      </c>
      <c r="U27" s="29" t="s">
        <v>227</v>
      </c>
      <c r="V27" s="30">
        <v>1000</v>
      </c>
      <c r="W27" s="28" t="s">
        <v>228</v>
      </c>
      <c r="X27" s="29">
        <v>150</v>
      </c>
      <c r="Y27" s="29" t="s">
        <v>229</v>
      </c>
      <c r="Z27" s="30">
        <v>1000</v>
      </c>
    </row>
    <row r="28" spans="1:26" x14ac:dyDescent="0.3">
      <c r="A28" s="22" t="s">
        <v>107</v>
      </c>
      <c r="B28" s="1">
        <v>20000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23"/>
      <c r="I30" s="44" t="s">
        <v>230</v>
      </c>
      <c r="J30" s="24"/>
      <c r="K30" s="24"/>
      <c r="L30" s="25"/>
      <c r="N30" s="34"/>
      <c r="O30" s="47" t="s">
        <v>231</v>
      </c>
      <c r="P30" s="24"/>
      <c r="Q30" s="24"/>
      <c r="R30" s="25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26"/>
      <c r="I31" s="1" t="s">
        <v>12</v>
      </c>
      <c r="J31" s="1" t="s">
        <v>13</v>
      </c>
      <c r="K31" s="1" t="s">
        <v>14</v>
      </c>
      <c r="L31" s="27" t="s">
        <v>49</v>
      </c>
      <c r="N31" s="45"/>
      <c r="O31" s="1" t="s">
        <v>12</v>
      </c>
      <c r="P31" s="1" t="s">
        <v>13</v>
      </c>
      <c r="Q31" s="1" t="s">
        <v>14</v>
      </c>
      <c r="R31" s="27" t="s">
        <v>49</v>
      </c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26" t="s">
        <v>232</v>
      </c>
      <c r="I32" s="1">
        <f>MAX(0,R3-B16-I17)</f>
        <v>6</v>
      </c>
      <c r="J32" s="1">
        <f>MAX(0,T3-D16-K17)</f>
        <v>59</v>
      </c>
      <c r="K32" s="1">
        <f>MAX(0,V3-F16-M17)</f>
        <v>13</v>
      </c>
      <c r="L32" s="27">
        <f>SUM(I32:K32)</f>
        <v>78</v>
      </c>
      <c r="N32" s="26" t="s">
        <v>232</v>
      </c>
      <c r="O32" s="1">
        <f>MAX(0,-R3+B16+I17)</f>
        <v>0</v>
      </c>
      <c r="P32" s="1">
        <f>MAX(0,-T3+D16+K17)</f>
        <v>0</v>
      </c>
      <c r="Q32" s="1">
        <f>MAX(0,-V3+F16+M17)</f>
        <v>0</v>
      </c>
      <c r="R32" s="27">
        <f>SUM(O32:Q32)</f>
        <v>0</v>
      </c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43" t="s">
        <v>242</v>
      </c>
      <c r="B33" s="24"/>
      <c r="C33" s="24"/>
      <c r="D33" s="24"/>
      <c r="E33" s="24"/>
      <c r="F33" s="25"/>
      <c r="G33" s="1"/>
      <c r="H33" s="26" t="s">
        <v>233</v>
      </c>
      <c r="I33" s="1">
        <f t="shared" ref="I33:I41" si="4">MAX(0,R4-B17-I18)</f>
        <v>15</v>
      </c>
      <c r="J33" s="1">
        <f t="shared" ref="J33:J41" si="5">MAX(0,T4-D17-K18)</f>
        <v>41</v>
      </c>
      <c r="K33" s="1">
        <f t="shared" ref="K33:K41" si="6">MAX(0,V4-F17-M18)</f>
        <v>11</v>
      </c>
      <c r="L33" s="27">
        <f t="shared" ref="L33:L42" si="7">SUM(I33:K33)</f>
        <v>67</v>
      </c>
      <c r="N33" s="26" t="s">
        <v>233</v>
      </c>
      <c r="O33" s="1">
        <f t="shared" ref="O33:O41" si="8">MAX(0,-R4+B17+I18)</f>
        <v>0</v>
      </c>
      <c r="P33" s="1">
        <f t="shared" ref="P33:P41" si="9">MAX(0,-T4+D17+K18)</f>
        <v>0</v>
      </c>
      <c r="Q33" s="1">
        <f t="shared" ref="Q33:Q41" si="10">MAX(0,-V4+F17+M18)</f>
        <v>0</v>
      </c>
      <c r="R33" s="27">
        <f t="shared" ref="R33:R42" si="11">SUM(O33:Q33)</f>
        <v>0</v>
      </c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26" t="s">
        <v>12</v>
      </c>
      <c r="B34" s="1" t="s">
        <v>75</v>
      </c>
      <c r="C34" s="1" t="s">
        <v>13</v>
      </c>
      <c r="D34" s="1" t="s">
        <v>75</v>
      </c>
      <c r="E34" s="1" t="s">
        <v>14</v>
      </c>
      <c r="F34" s="27" t="s">
        <v>75</v>
      </c>
      <c r="H34" s="26" t="s">
        <v>234</v>
      </c>
      <c r="I34" s="1">
        <f t="shared" si="4"/>
        <v>3</v>
      </c>
      <c r="J34" s="1">
        <f t="shared" si="5"/>
        <v>5</v>
      </c>
      <c r="K34" s="1">
        <f t="shared" si="6"/>
        <v>8</v>
      </c>
      <c r="L34" s="27">
        <f t="shared" si="7"/>
        <v>16</v>
      </c>
      <c r="N34" s="26" t="s">
        <v>234</v>
      </c>
      <c r="O34" s="1">
        <f t="shared" si="8"/>
        <v>0</v>
      </c>
      <c r="P34" s="1">
        <f t="shared" si="9"/>
        <v>0</v>
      </c>
      <c r="Q34" s="1">
        <f t="shared" si="10"/>
        <v>0</v>
      </c>
      <c r="R34" s="27">
        <f t="shared" si="11"/>
        <v>0</v>
      </c>
    </row>
    <row r="35" spans="1:26" x14ac:dyDescent="0.3">
      <c r="A35" s="26" t="s">
        <v>243</v>
      </c>
      <c r="B35" s="1">
        <f>B16+I17</f>
        <v>814</v>
      </c>
      <c r="C35" s="1" t="s">
        <v>244</v>
      </c>
      <c r="D35" s="1">
        <f>D16+K17</f>
        <v>716</v>
      </c>
      <c r="E35" s="1" t="s">
        <v>244</v>
      </c>
      <c r="F35" s="27">
        <f>F16+M17</f>
        <v>489</v>
      </c>
      <c r="H35" s="26" t="s">
        <v>235</v>
      </c>
      <c r="I35" s="1">
        <f t="shared" si="4"/>
        <v>11</v>
      </c>
      <c r="J35" s="1">
        <f t="shared" si="5"/>
        <v>73</v>
      </c>
      <c r="K35" s="1">
        <f t="shared" si="6"/>
        <v>15</v>
      </c>
      <c r="L35" s="27">
        <f t="shared" si="7"/>
        <v>99</v>
      </c>
      <c r="N35" s="26" t="s">
        <v>235</v>
      </c>
      <c r="O35" s="1">
        <f t="shared" si="8"/>
        <v>0</v>
      </c>
      <c r="P35" s="1">
        <f t="shared" si="9"/>
        <v>0</v>
      </c>
      <c r="Q35" s="1">
        <f t="shared" si="10"/>
        <v>0</v>
      </c>
      <c r="R35" s="27">
        <f t="shared" si="11"/>
        <v>0</v>
      </c>
    </row>
    <row r="36" spans="1:26" x14ac:dyDescent="0.3">
      <c r="A36" s="26" t="s">
        <v>245</v>
      </c>
      <c r="B36" s="1">
        <f t="shared" ref="B36:B44" si="12">B17+I18</f>
        <v>980</v>
      </c>
      <c r="C36" s="1" t="s">
        <v>246</v>
      </c>
      <c r="D36" s="1">
        <f t="shared" ref="D36:D44" si="13">D17+K18</f>
        <v>760</v>
      </c>
      <c r="E36" s="1" t="s">
        <v>246</v>
      </c>
      <c r="F36" s="27">
        <f t="shared" ref="F36:F44" si="14">F17+M18</f>
        <v>548</v>
      </c>
      <c r="H36" s="26" t="s">
        <v>236</v>
      </c>
      <c r="I36" s="1">
        <f t="shared" si="4"/>
        <v>49</v>
      </c>
      <c r="J36" s="1">
        <f t="shared" si="5"/>
        <v>19</v>
      </c>
      <c r="K36" s="1">
        <f t="shared" si="6"/>
        <v>9</v>
      </c>
      <c r="L36" s="27">
        <f t="shared" si="7"/>
        <v>77</v>
      </c>
      <c r="N36" s="26" t="s">
        <v>236</v>
      </c>
      <c r="O36" s="1">
        <f t="shared" si="8"/>
        <v>0</v>
      </c>
      <c r="P36" s="1">
        <f t="shared" si="9"/>
        <v>0</v>
      </c>
      <c r="Q36" s="1">
        <f t="shared" si="10"/>
        <v>0</v>
      </c>
      <c r="R36" s="27">
        <f t="shared" si="11"/>
        <v>0</v>
      </c>
    </row>
    <row r="37" spans="1:26" x14ac:dyDescent="0.3">
      <c r="A37" s="26" t="s">
        <v>247</v>
      </c>
      <c r="B37" s="1">
        <f t="shared" si="12"/>
        <v>717</v>
      </c>
      <c r="C37" s="1" t="s">
        <v>248</v>
      </c>
      <c r="D37" s="1">
        <f t="shared" si="13"/>
        <v>890</v>
      </c>
      <c r="E37" s="1" t="s">
        <v>248</v>
      </c>
      <c r="F37" s="27">
        <f t="shared" si="14"/>
        <v>685</v>
      </c>
      <c r="H37" s="26" t="s">
        <v>237</v>
      </c>
      <c r="I37" s="1">
        <f t="shared" si="4"/>
        <v>19</v>
      </c>
      <c r="J37" s="1">
        <f t="shared" si="5"/>
        <v>6</v>
      </c>
      <c r="K37" s="1">
        <f t="shared" si="6"/>
        <v>6</v>
      </c>
      <c r="L37" s="27">
        <f t="shared" si="7"/>
        <v>31</v>
      </c>
      <c r="N37" s="26" t="s">
        <v>237</v>
      </c>
      <c r="O37" s="1">
        <f t="shared" si="8"/>
        <v>0</v>
      </c>
      <c r="P37" s="1">
        <f t="shared" si="9"/>
        <v>0</v>
      </c>
      <c r="Q37" s="1">
        <f t="shared" si="10"/>
        <v>0</v>
      </c>
      <c r="R37" s="27">
        <f t="shared" si="11"/>
        <v>0</v>
      </c>
    </row>
    <row r="38" spans="1:26" x14ac:dyDescent="0.3">
      <c r="A38" s="26" t="s">
        <v>249</v>
      </c>
      <c r="B38" s="1">
        <f t="shared" si="12"/>
        <v>999</v>
      </c>
      <c r="C38" s="1" t="s">
        <v>250</v>
      </c>
      <c r="D38" s="1">
        <f t="shared" si="13"/>
        <v>827</v>
      </c>
      <c r="E38" s="1" t="s">
        <v>250</v>
      </c>
      <c r="F38" s="27">
        <f t="shared" si="14"/>
        <v>686</v>
      </c>
      <c r="H38" s="26" t="s">
        <v>238</v>
      </c>
      <c r="I38" s="1">
        <f t="shared" si="4"/>
        <v>31</v>
      </c>
      <c r="J38" s="1">
        <f t="shared" si="5"/>
        <v>18</v>
      </c>
      <c r="K38" s="1">
        <f t="shared" si="6"/>
        <v>40</v>
      </c>
      <c r="L38" s="27">
        <f t="shared" si="7"/>
        <v>89</v>
      </c>
      <c r="N38" s="26" t="s">
        <v>238</v>
      </c>
      <c r="O38" s="1">
        <f t="shared" si="8"/>
        <v>0</v>
      </c>
      <c r="P38" s="1">
        <f t="shared" si="9"/>
        <v>0</v>
      </c>
      <c r="Q38" s="1">
        <f t="shared" si="10"/>
        <v>0</v>
      </c>
      <c r="R38" s="27">
        <f t="shared" si="11"/>
        <v>0</v>
      </c>
    </row>
    <row r="39" spans="1:26" x14ac:dyDescent="0.3">
      <c r="A39" s="26" t="s">
        <v>251</v>
      </c>
      <c r="B39" s="1">
        <f t="shared" si="12"/>
        <v>672</v>
      </c>
      <c r="C39" s="1" t="s">
        <v>252</v>
      </c>
      <c r="D39" s="1">
        <f t="shared" si="13"/>
        <v>814</v>
      </c>
      <c r="E39" s="1" t="s">
        <v>252</v>
      </c>
      <c r="F39" s="27">
        <f t="shared" si="14"/>
        <v>599</v>
      </c>
      <c r="H39" s="26" t="s">
        <v>239</v>
      </c>
      <c r="I39" s="1">
        <f t="shared" si="4"/>
        <v>1</v>
      </c>
      <c r="J39" s="1">
        <f t="shared" si="5"/>
        <v>19</v>
      </c>
      <c r="K39" s="1">
        <f t="shared" si="6"/>
        <v>315</v>
      </c>
      <c r="L39" s="27">
        <f t="shared" si="7"/>
        <v>335</v>
      </c>
      <c r="N39" s="26" t="s">
        <v>239</v>
      </c>
      <c r="O39" s="1">
        <f t="shared" si="8"/>
        <v>0</v>
      </c>
      <c r="P39" s="1">
        <f t="shared" si="9"/>
        <v>0</v>
      </c>
      <c r="Q39" s="1">
        <f t="shared" si="10"/>
        <v>0</v>
      </c>
      <c r="R39" s="27">
        <f t="shared" si="11"/>
        <v>0</v>
      </c>
    </row>
    <row r="40" spans="1:26" x14ac:dyDescent="0.3">
      <c r="A40" s="26" t="s">
        <v>253</v>
      </c>
      <c r="B40" s="1">
        <f t="shared" si="12"/>
        <v>693</v>
      </c>
      <c r="C40" s="1" t="s">
        <v>254</v>
      </c>
      <c r="D40" s="1">
        <f t="shared" si="13"/>
        <v>694</v>
      </c>
      <c r="E40" s="1" t="s">
        <v>254</v>
      </c>
      <c r="F40" s="27">
        <f t="shared" si="14"/>
        <v>405</v>
      </c>
      <c r="H40" s="26" t="s">
        <v>240</v>
      </c>
      <c r="I40" s="1">
        <f t="shared" si="4"/>
        <v>5</v>
      </c>
      <c r="J40" s="1">
        <f t="shared" si="5"/>
        <v>1</v>
      </c>
      <c r="K40" s="1">
        <f t="shared" si="6"/>
        <v>530</v>
      </c>
      <c r="L40" s="27">
        <f t="shared" si="7"/>
        <v>536</v>
      </c>
      <c r="N40" s="26" t="s">
        <v>240</v>
      </c>
      <c r="O40" s="1">
        <f t="shared" si="8"/>
        <v>0</v>
      </c>
      <c r="P40" s="1">
        <f t="shared" si="9"/>
        <v>0</v>
      </c>
      <c r="Q40" s="1">
        <f t="shared" si="10"/>
        <v>0</v>
      </c>
      <c r="R40" s="27">
        <f t="shared" si="11"/>
        <v>0</v>
      </c>
    </row>
    <row r="41" spans="1:26" x14ac:dyDescent="0.3">
      <c r="A41" s="26" t="s">
        <v>255</v>
      </c>
      <c r="B41" s="1">
        <f t="shared" si="12"/>
        <v>729</v>
      </c>
      <c r="C41" s="1" t="s">
        <v>256</v>
      </c>
      <c r="D41" s="1">
        <f t="shared" si="13"/>
        <v>578</v>
      </c>
      <c r="E41" s="1" t="s">
        <v>256</v>
      </c>
      <c r="F41" s="27">
        <f t="shared" si="14"/>
        <v>281</v>
      </c>
      <c r="H41" s="26" t="s">
        <v>241</v>
      </c>
      <c r="I41" s="1">
        <f t="shared" si="4"/>
        <v>377</v>
      </c>
      <c r="J41" s="1">
        <f t="shared" si="5"/>
        <v>10</v>
      </c>
      <c r="K41" s="1">
        <f t="shared" si="6"/>
        <v>734</v>
      </c>
      <c r="L41" s="27">
        <f t="shared" si="7"/>
        <v>1121</v>
      </c>
      <c r="N41" s="26" t="s">
        <v>241</v>
      </c>
      <c r="O41" s="1">
        <f t="shared" si="8"/>
        <v>0</v>
      </c>
      <c r="P41" s="1">
        <f t="shared" si="9"/>
        <v>0</v>
      </c>
      <c r="Q41" s="1">
        <f t="shared" si="10"/>
        <v>0</v>
      </c>
      <c r="R41" s="27">
        <f t="shared" si="11"/>
        <v>0</v>
      </c>
    </row>
    <row r="42" spans="1:26" x14ac:dyDescent="0.3">
      <c r="A42" s="26" t="s">
        <v>257</v>
      </c>
      <c r="B42" s="1">
        <f t="shared" si="12"/>
        <v>621</v>
      </c>
      <c r="C42" s="1" t="s">
        <v>258</v>
      </c>
      <c r="D42" s="1">
        <f t="shared" si="13"/>
        <v>681</v>
      </c>
      <c r="E42" s="1" t="s">
        <v>258</v>
      </c>
      <c r="F42" s="27">
        <f t="shared" si="14"/>
        <v>231</v>
      </c>
      <c r="H42" s="28" t="s">
        <v>49</v>
      </c>
      <c r="I42" s="29">
        <f>SUM(I32:I41)</f>
        <v>517</v>
      </c>
      <c r="J42" s="29">
        <f>SUM(J32:J41)</f>
        <v>251</v>
      </c>
      <c r="K42" s="29">
        <f>SUM(K32:K41)</f>
        <v>1681</v>
      </c>
      <c r="L42" s="30">
        <f t="shared" si="7"/>
        <v>2449</v>
      </c>
      <c r="N42" s="28" t="s">
        <v>49</v>
      </c>
      <c r="O42" s="29">
        <f>SUM(O32:O41)</f>
        <v>0</v>
      </c>
      <c r="P42" s="29">
        <f>SUM(P32:P41)</f>
        <v>0</v>
      </c>
      <c r="Q42" s="29">
        <f>SUM(Q32:Q41)</f>
        <v>0</v>
      </c>
      <c r="R42" s="30">
        <f t="shared" si="11"/>
        <v>0</v>
      </c>
    </row>
    <row r="43" spans="1:26" x14ac:dyDescent="0.3">
      <c r="A43" s="26" t="s">
        <v>259</v>
      </c>
      <c r="B43" s="1">
        <f t="shared" si="12"/>
        <v>805</v>
      </c>
      <c r="C43" s="1" t="s">
        <v>260</v>
      </c>
      <c r="D43" s="1">
        <f t="shared" si="13"/>
        <v>874</v>
      </c>
      <c r="E43" s="1" t="s">
        <v>260</v>
      </c>
      <c r="F43" s="27">
        <f t="shared" si="14"/>
        <v>231</v>
      </c>
    </row>
    <row r="44" spans="1:26" x14ac:dyDescent="0.3">
      <c r="A44" s="28" t="s">
        <v>261</v>
      </c>
      <c r="B44" s="29">
        <f t="shared" si="12"/>
        <v>999</v>
      </c>
      <c r="C44" s="29" t="s">
        <v>262</v>
      </c>
      <c r="D44" s="29">
        <f t="shared" si="13"/>
        <v>1000</v>
      </c>
      <c r="E44" s="29" t="s">
        <v>262</v>
      </c>
      <c r="F44" s="30">
        <f t="shared" si="14"/>
        <v>230</v>
      </c>
      <c r="H44" s="1" t="s">
        <v>263</v>
      </c>
      <c r="I44" s="2">
        <f>L42*5+R42*3+(B28-B27)*2</f>
        <v>12245</v>
      </c>
    </row>
    <row r="45" spans="1:26" x14ac:dyDescent="0.3">
      <c r="H45" s="49" t="s">
        <v>267</v>
      </c>
    </row>
  </sheetData>
  <scenarios current="0">
    <scenario name="1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  <scenario name="2" count="30" user="ADVAIT SHAH" comment="Created by ADVAIT SHAH on 2/26/2023">
      <inputCells r="B16" val="814"/>
      <inputCells r="B17" val="984"/>
      <inputCells r="B18" val="758"/>
      <inputCells r="B19" val="1000"/>
      <inputCells r="B20" val="674"/>
      <inputCells r="B21" val="694"/>
      <inputCells r="B22" val="730"/>
      <inputCells r="B23" val="647"/>
      <inputCells r="B24" val="847"/>
      <inputCells r="B25" val="1000"/>
      <inputCells r="D16" val="634"/>
      <inputCells r="D17" val="760"/>
      <inputCells r="D18" val="947"/>
      <inputCells r="D19" val="827"/>
      <inputCells r="D20" val="814"/>
      <inputCells r="D21" val="722"/>
      <inputCells r="D22" val="597"/>
      <inputCells r="D23" val="707"/>
      <inputCells r="D24" val="879"/>
      <inputCells r="D25" val="1000"/>
      <inputCells r="F16" val="393"/>
      <inputCells r="F17" val="548"/>
      <inputCells r="F18" val="685"/>
      <inputCells r="F19" val="712"/>
      <inputCells r="F20" val="599"/>
      <inputCells r="F21" val="406"/>
      <inputCells r="F22" val="172"/>
      <inputCells r="F23" val="150"/>
      <inputCells r="F24" val="150"/>
      <inputCells r="F25" val="150"/>
    </scenario>
  </scenario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A86314-5F1D-47CB-BE2D-0747437AE0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HistoricalDemand_Store1</vt:lpstr>
      <vt:lpstr>HistoricalDemand_Store2</vt:lpstr>
      <vt:lpstr>HistoricalDemand_Store3</vt:lpstr>
      <vt:lpstr>1.1</vt:lpstr>
      <vt:lpstr>1.2</vt:lpstr>
      <vt:lpstr>1.2_extra</vt:lpstr>
      <vt:lpstr>1.3</vt:lpstr>
      <vt:lpstr>2.1.1</vt:lpstr>
      <vt:lpstr>2.1.2</vt:lpstr>
      <vt:lpstr>2.1.1_extra</vt:lpstr>
      <vt:lpstr>2.1.2_extra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Sina</dc:creator>
  <cp:lastModifiedBy>ADVAIT SHAH</cp:lastModifiedBy>
  <cp:lastPrinted>2023-02-27T01:49:37Z</cp:lastPrinted>
  <dcterms:created xsi:type="dcterms:W3CDTF">2021-11-02T02:01:53Z</dcterms:created>
  <dcterms:modified xsi:type="dcterms:W3CDTF">2023-02-27T06:04:27Z</dcterms:modified>
</cp:coreProperties>
</file>